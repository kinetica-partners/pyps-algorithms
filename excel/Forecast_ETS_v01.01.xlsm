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2.xml" ContentType="application/vnd.openxmlformats-officedocument.spreadsheetml.pivotTable+xml"/>
  <Override PartName="/xl/drawings/drawing7.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ctrlProps/ctrlProp33.xml" ContentType="application/vnd.ms-excel.controlproperties+xml"/>
  <Override PartName="/xl/ctrlProps/ctrlProp34.xml" ContentType="application/vnd.ms-excel.controlproperties+xml"/>
  <Override PartName="/xl/pivotTables/pivotTable3.xml" ContentType="application/vnd.openxmlformats-officedocument.spreadsheetml.pivotTable+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dev\pyps_algorithms\excel\"/>
    </mc:Choice>
  </mc:AlternateContent>
  <xr:revisionPtr revIDLastSave="0" documentId="13_ncr:1_{BD5D58AB-FB7F-419F-9F54-559C64C8B39B}" xr6:coauthVersionLast="47" xr6:coauthVersionMax="47" xr10:uidLastSave="{00000000-0000-0000-0000-000000000000}"/>
  <bookViews>
    <workbookView xWindow="-110" yWindow="-110" windowWidth="38620" windowHeight="21100" tabRatio="845" activeTab="8" xr2:uid="{A2E59CFF-F12A-49C3-849B-D90F8117FF36}"/>
  </bookViews>
  <sheets>
    <sheet name="Menu" sheetId="2" r:id="rId1"/>
    <sheet name="PARA" sheetId="3" r:id="rId2"/>
    <sheet name="ets_training_data" sheetId="25" r:id="rId3"/>
    <sheet name="ets_test_data" sheetId="24" r:id="rId4"/>
    <sheet name="ets_forecast_data" sheetId="30" r:id="rId5"/>
    <sheet name="ets_test_and_training_data" sheetId="27" r:id="rId6"/>
    <sheet name="ets_test_and_training_chart" sheetId="29" r:id="rId7"/>
    <sheet name="ets_forecast_data_table" sheetId="31" r:id="rId8"/>
    <sheet name="ets_forecast_error" sheetId="32" r:id="rId9"/>
    <sheet name="Query_Template" sheetId="4" r:id="rId10"/>
    <sheet name="Parameter_Template" sheetId="9" r:id="rId11"/>
    <sheet name="Stack_Template" sheetId="8" r:id="rId12"/>
    <sheet name="Table_Template" sheetId="5" r:id="rId13"/>
    <sheet name="Pivot_Template" sheetId="6" r:id="rId14"/>
    <sheet name="ModuleList_Template" sheetId="23" r:id="rId15"/>
    <sheet name="QuickReference" sheetId="21" r:id="rId16"/>
  </sheets>
  <functionGroups builtInGroupCount="19"/>
  <definedNames>
    <definedName name="_xleta.TODAY" hidden="1" xlm="1">#NAME?</definedName>
    <definedName name="EndRow" hidden="1">1048576</definedName>
    <definedName name="ets_forecast_data_AllClear">OFFSET(ets_forecast_data!$A$10,1,0,COUNTA(ets_forecast_data!$A$10:$A$1048576),COUNTA(ets_forecast_data!$10:$10))</definedName>
    <definedName name="ets_forecast_data_Clear">OFFSET(ets_forecast_data!$D$10,1,0,MAX(COUNTA(ets_forecast_data!$A$10:$A$1048576)-1,COUNTA(ets_forecast_data!$D$10:$D$1048576)-1),MAX(COUNTA(ets_forecast_data!$8:$8),1))</definedName>
    <definedName name="ets_forecast_data_Formulas">OFFSET(ets_forecast_data!$D$8,0,0,1,MAX(COUNTA(ets_forecast_data!$8:$8),1))</definedName>
    <definedName name="ets_forecast_data_Results">OFFSET(ets_forecast_data!$D$10,1,0,MAX(COUNTA(ets_forecast_data!$A$10:$A$1048576)-1,1),MAX(COUNTA(ets_forecast_data!$8:$8),1))</definedName>
    <definedName name="ets_forecast_data_Table">OFFSET(ets_forecast_data!$A$10,0,0,COUNTA(ets_forecast_data!$A$10:$A$1048576),COUNTA(ets_forecast_data!$10:$10))</definedName>
    <definedName name="ets_forecast_error_Clear">OFFSET(ets_forecast_error!$E$10,1,0,MAX(COUNTA(ets_forecast_error!$A$10:$A$1048576)-1,COUNTA(ets_forecast_error!$B$10:$B$1048576)-1,COUNTA(ets_forecast_error!$D$10:$D$1048576),COUNTA(ets_forecast_error!$D$10:$E$1048576)),MAX(COUNTA(ets_forecast_error!$8:$8),1))</definedName>
    <definedName name="ets_forecast_error_Formulas">OFFSET(ets_forecast_error!$E$8,0,0,1,MAX(COUNTA(ets_forecast_error!$8:$8),1))</definedName>
    <definedName name="ets_forecast_error_Results">OFFSET(ets_forecast_error!$E$10,1,0,MAX(COUNTA(ets_forecast_error!$A$10:$A$1048576)-1,COUNTA(ets_forecast_error!$B$10:$B$1048576)-1,COUNTA(ets_forecast_error!$D$10:$D$1048576)-1),MAX(COUNTA(ets_forecast_error!$8:$8),1))</definedName>
    <definedName name="ets_forecast_error_Table">OFFSET(ets_forecast_error!$A$10,0,0,MAX(COUNTA(ets_forecast_error!$A$10:$A$1048576),COUNTA(ets_forecast_error!$B$10:$B$1048576),COUNTA(ets_forecast_error!$D$10:$D$1048576)),COUNTA(ets_forecast_error!$10:$10))</definedName>
    <definedName name="ets_test_and_training_chart_Clear">OFFSET(ets_test_and_training_chart!$G$10,1,0,MAX(COUNTA(ets_test_and_training_chart!$A$10:$A$1048576)-1,COUNTA(ets_test_and_training_chart!$B$10:$B$1048576)-1,COUNTA(ets_test_and_training_chart!$F$10:$F$1048576),COUNTA(ets_test_and_training_chart!$F$10:$G$1048576)),MAX(COUNTA(ets_test_and_training_chart!$8:$8),1))</definedName>
    <definedName name="ets_test_and_training_chart_Formulas">OFFSET(ets_test_and_training_chart!$G$8,0,0,1,MAX(COUNTA(ets_test_and_training_chart!$8:$8),1))</definedName>
    <definedName name="ets_test_and_training_chart_Results">OFFSET(ets_test_and_training_chart!$G$10,1,0,MAX(COUNTA(ets_test_and_training_chart!$A$10:$A$1048576)-1,COUNTA(ets_test_and_training_chart!$B$10:$B$1048576)-1,COUNTA(ets_test_and_training_chart!$F$10:$F$1048576)-1),MAX(COUNTA(ets_test_and_training_chart!$8:$8),1))</definedName>
    <definedName name="ets_test_and_training_chart_Table">OFFSET(ets_test_and_training_chart!$A$10,0,0,MAX(COUNTA(ets_test_and_training_chart!$A$10:$A$1048576),COUNTA(ets_test_and_training_chart!$B$10:$B$1048576),COUNTA(ets_test_and_training_chart!$F$10:$F$1048576)),COUNTA(ets_test_and_training_chart!$10:$10))</definedName>
    <definedName name="ets_test_and_training_data_AllClear">OFFSET(ets_test_and_training_data!$A$10,1,0,COUNTA(ets_test_and_training_data!$A$10:$A$1048576),COUNTA(ets_test_and_training_data!$10:$10))</definedName>
    <definedName name="ets_test_and_training_data_Clear">OFFSET(ets_test_and_training_data!$G$10,1,0,MAX(COUNTA(ets_test_and_training_data!$A$10:$A$1048576)-1,COUNTA(ets_test_and_training_data!$G$10:$G$1048576)-1),MAX(COUNTA(ets_test_and_training_data!$8:$8),1))</definedName>
    <definedName name="ets_test_and_training_data_Formulas">OFFSET(ets_test_and_training_data!$G$8,0,0,1,MAX(COUNTA(ets_test_and_training_data!$8:$8),1))</definedName>
    <definedName name="ets_test_and_training_data_Results">OFFSET(ets_test_and_training_data!$G$10,1,0,MAX(COUNTA(ets_test_and_training_data!$A$10:$A$1048576)-1,1),MAX(COUNTA(ets_test_and_training_data!$8:$8),1))</definedName>
    <definedName name="ets_test_and_training_data_Table">OFFSET(ets_test_and_training_data!$A$10,0,0,COUNTA(ets_test_and_training_data!$A$10:$A$1048576),COUNTA(ets_test_and_training_data!$10:$10))</definedName>
    <definedName name="ets_test_data_AllClear">OFFSET(ets_test_data!$A$10,1,0,COUNTA(ets_test_data!$A$10:$A$1048576),COUNTA(ets_test_data!$10:$10))</definedName>
    <definedName name="ets_test_data_Clear">OFFSET(ets_test_data!$D$10,1,0,MAX(COUNTA(ets_test_data!$A$10:$A$1048576)-1,COUNTA(ets_test_data!$D$10:$D$1048576)-1),MAX(COUNTA(ets_test_data!$8:$8),1))</definedName>
    <definedName name="ets_test_data_Formulas">OFFSET(ets_test_data!$D$8,0,0,1,MAX(COUNTA(ets_test_data!$8:$8),1))</definedName>
    <definedName name="ets_test_data_Results">OFFSET(ets_test_data!$D$10,1,0,MAX(COUNTA(ets_test_data!$A$10:$A$1048576)-1,1),MAX(COUNTA(ets_test_data!$8:$8),1))</definedName>
    <definedName name="ets_test_data_Table">OFFSET(ets_test_data!$A$10,0,0,COUNTA(ets_test_data!$A$10:$A$1048576),COUNTA(ets_test_data!$10:$10))</definedName>
    <definedName name="ets_training_data_AllClear">OFFSET(ets_training_data!$A$10,1,0,COUNTA(ets_training_data!$A$10:$A$1048576),COUNTA(ets_training_data!$10:$10))</definedName>
    <definedName name="ets_training_data_Clear">OFFSET(ets_training_data!$D$10,1,0,MAX(COUNTA(ets_training_data!$A$10:$A$1048576)-1,COUNTA(ets_training_data!$D$10:$D$1048576)-1),MAX(COUNTA(ets_training_data!$8:$8),1))</definedName>
    <definedName name="ets_training_data_Formulas">OFFSET(ets_training_data!$D$8,0,0,1,MAX(COUNTA(ets_training_data!$8:$8),1))</definedName>
    <definedName name="ets_training_data_Results">OFFSET(ets_training_data!$D$10,1,0,MAX(COUNTA(ets_training_data!$A$10:$A$1048576)-1,1),MAX(COUNTA(ets_training_data!$8:$8),1))</definedName>
    <definedName name="ets_training_data_Table">OFFSET(ets_training_data!$A$10,0,0,COUNTA(ets_training_data!$A$10:$A$1048576),COUNTA(ets_training_data!$10:$10))</definedName>
    <definedName name="ExternalData_1" localSheetId="4" hidden="1">ets_forecast_data!$A$10:$C$166</definedName>
    <definedName name="ExternalData_1" localSheetId="5" hidden="1">ets_test_and_training_data!$A$10:$F$1102</definedName>
    <definedName name="ExternalData_1" localSheetId="3" hidden="1">ets_test_data!$A$10:$C$166</definedName>
    <definedName name="ExternalData_1" localSheetId="2" hidden="1">ets_training_data!$A$10:$C$946</definedName>
    <definedName name="ExternalData_2" localSheetId="7" hidden="1">ets_forecast_data_table!$A$1:$D$157</definedName>
    <definedName name="NoClean" localSheetId="0" hidden="1">TRUE</definedName>
    <definedName name="NoClean" localSheetId="1" hidden="1">TRUE</definedName>
    <definedName name="NoClean" localSheetId="10" hidden="1">TRUE</definedName>
    <definedName name="NoClean" localSheetId="15"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Prv_Sht">"ets_test_and_training_chart"</definedName>
    <definedName name="Prv_Sht_1st">"ets_forecast_error"</definedName>
    <definedName name="SheetType" localSheetId="4" hidden="1">"Query"</definedName>
    <definedName name="SheetType" localSheetId="8" hidden="1">"Pivot"</definedName>
    <definedName name="SheetType" localSheetId="6" hidden="1">"Pivot"</definedName>
    <definedName name="SheetType" localSheetId="5" hidden="1">"Query"</definedName>
    <definedName name="SheetType" localSheetId="3" hidden="1">"Query"</definedName>
    <definedName name="SheetType" localSheetId="2" hidden="1">"Query"</definedName>
    <definedName name="SheetType" localSheetId="0" hidden="1">"Menu"</definedName>
    <definedName name="SheetType" localSheetId="14" hidden="1">"ModuleList"</definedName>
    <definedName name="SheetType" localSheetId="1" hidden="1">"Parameter"</definedName>
    <definedName name="SheetType" localSheetId="10" hidden="1">"Parameter"</definedName>
    <definedName name="SheetType" localSheetId="13" hidden="1">"Pivot"</definedName>
    <definedName name="SheetType" localSheetId="9" hidden="1">"Query"</definedName>
    <definedName name="SheetType" localSheetId="11" hidden="1">"Stack"</definedName>
    <definedName name="SheetType" localSheetId="12" hidden="1">"Table"</definedName>
    <definedName name="Slicer_item">#N/A</definedName>
  </definedNames>
  <calcPr calcId="191029"/>
  <pivotCaches>
    <pivotCache cacheId="67" r:id="rId17"/>
    <pivotCache cacheId="277"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27" l="1"/>
  <c r="O8" i="27" s="1"/>
  <c r="K8" i="27"/>
  <c r="Z1" i="32"/>
  <c r="Y1" i="32"/>
  <c r="X1" i="32"/>
  <c r="W1" i="32"/>
  <c r="V1" i="32"/>
  <c r="U1" i="32"/>
  <c r="T1" i="32"/>
  <c r="S1" i="32"/>
  <c r="R1" i="32"/>
  <c r="Q1" i="32"/>
  <c r="P1" i="32"/>
  <c r="O1" i="32"/>
  <c r="N1" i="32"/>
  <c r="M1" i="32"/>
  <c r="L1" i="32"/>
  <c r="K1" i="32"/>
  <c r="J1" i="32"/>
  <c r="I1" i="32"/>
  <c r="H1" i="32"/>
  <c r="G1" i="32"/>
  <c r="F1" i="32"/>
  <c r="E1" i="32"/>
  <c r="D1" i="32"/>
  <c r="C1" i="32"/>
  <c r="B1" i="32"/>
  <c r="A1" i="32"/>
  <c r="N8" i="27"/>
  <c r="D8" i="30"/>
  <c r="H8" i="27"/>
  <c r="I8" i="27" s="1"/>
  <c r="J8" i="27" s="1"/>
  <c r="M1" i="30"/>
  <c r="L1" i="30"/>
  <c r="K1" i="30"/>
  <c r="J1" i="30"/>
  <c r="I1" i="30"/>
  <c r="H1" i="30"/>
  <c r="G1" i="30"/>
  <c r="F1" i="30"/>
  <c r="E1" i="30"/>
  <c r="D1" i="30"/>
  <c r="C1" i="30"/>
  <c r="B1" i="30"/>
  <c r="A1" i="30"/>
  <c r="Z1" i="29"/>
  <c r="Y1" i="29"/>
  <c r="X1" i="29"/>
  <c r="W1" i="29"/>
  <c r="V1" i="29"/>
  <c r="U1" i="29"/>
  <c r="T1" i="29"/>
  <c r="S1" i="29"/>
  <c r="R1" i="29"/>
  <c r="Q1" i="29"/>
  <c r="P1" i="29"/>
  <c r="O1" i="29"/>
  <c r="N1" i="29"/>
  <c r="M1" i="29"/>
  <c r="L1" i="29"/>
  <c r="K1" i="29"/>
  <c r="J1" i="29"/>
  <c r="I1" i="29"/>
  <c r="H1" i="29"/>
  <c r="G1" i="29"/>
  <c r="F1" i="29"/>
  <c r="E1" i="29"/>
  <c r="D1" i="29"/>
  <c r="C1" i="29"/>
  <c r="B1" i="29"/>
  <c r="A1" i="29"/>
  <c r="Q1" i="27"/>
  <c r="P1" i="27"/>
  <c r="O1" i="27"/>
  <c r="N1" i="27"/>
  <c r="M1" i="27"/>
  <c r="L1" i="27"/>
  <c r="J1" i="27"/>
  <c r="I1" i="27"/>
  <c r="H1" i="27"/>
  <c r="D1" i="27"/>
  <c r="C1" i="27"/>
  <c r="B1" i="27"/>
  <c r="A1" i="27"/>
  <c r="D8" i="24"/>
  <c r="D8" i="25"/>
  <c r="M1" i="25"/>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L8" i="27"/>
  <c r="M8" i="27" l="1"/>
  <c r="D4" i="8"/>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H8" i="8"/>
  <c r="G8" i="8"/>
  <c r="F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E446E89-3CBD-4C3E-920B-68A2E3370B9F}" keepAlive="1" name="Query - ets_forecast_data" description="Connection to the 'ets_forecast_data' query in the workbook." type="5" refreshedVersion="8" background="1" saveData="1">
    <dbPr connection="Provider=Microsoft.Mashup.OleDb.1;Data Source=$Workbook$;Location=ets_forecast_data;Extended Properties=&quot;&quot;" command="SELECT * FROM [ets_forecast_data]"/>
  </connection>
  <connection id="2" xr16:uid="{8F95704B-A25E-4B4D-A711-DA58BD2BE075}" keepAlive="1" name="Query - ets_forecast_data_table" description="Connection to the 'ets_forecast_data_table' query in the workbook." type="5" refreshedVersion="8" background="1" saveData="1">
    <dbPr connection="Provider=Microsoft.Mashup.OleDb.1;Data Source=$Workbook$;Location=ets_forecast_data_table;Extended Properties=&quot;&quot;" command="SELECT * FROM [ets_forecast_data_table]"/>
  </connection>
  <connection id="3" xr16:uid="{603DC08D-6BD5-49C7-A6AA-96448F4DE539}" keepAlive="1" name="Query - ets_test_and_training_data" description="Connection to the 'ets_test_and_training_data' query in the workbook." type="5" refreshedVersion="8" background="1" saveData="1">
    <dbPr connection="Provider=Microsoft.Mashup.OleDb.1;Data Source=$Workbook$;Location=ets_test_and_training_data;Extended Properties=&quot;&quot;" command="SELECT * FROM [ets_test_and_training_data]"/>
  </connection>
  <connection id="4" xr16:uid="{6B54D278-2345-4436-85BA-9506982EB638}" keepAlive="1" name="Query - ets_test_data" description="Connection to the 'ets_test_data' query in the workbook." type="5" refreshedVersion="8" background="1" saveData="1">
    <dbPr connection="Provider=Microsoft.Mashup.OleDb.1;Data Source=$Workbook$;Location=ets_test_data;Extended Properties=&quot;&quot;" command="SELECT * FROM [ets_test_data]"/>
  </connection>
  <connection id="5" xr16:uid="{7C50EA1B-2AA6-4B2B-A9A4-A051C8EEC8BC}" keepAlive="1" name="Query - ets_test_data_table" description="Connection to the 'ets_test_data_table' query in the workbook." type="5" refreshedVersion="0" background="1">
    <dbPr connection="Provider=Microsoft.Mashup.OleDb.1;Data Source=$Workbook$;Location=ets_test_data_table;Extended Properties=&quot;&quot;" command="SELECT * FROM [ets_test_data_table]"/>
  </connection>
  <connection id="6" xr16:uid="{73B5CD73-F98E-4E91-8677-B30B2F8FFC3B}" keepAlive="1" name="Query - ets_training_data" description="Connection to the 'ets_training_data' query in the workbook." type="5" refreshedVersion="8" background="1" saveData="1">
    <dbPr connection="Provider=Microsoft.Mashup.OleDb.1;Data Source=$Workbook$;Location=ets_training_data;Extended Properties=&quot;&quot;" command="SELECT * FROM [ets_training_data]"/>
  </connection>
  <connection id="7" xr16:uid="{8415F334-7D85-473B-8359-DE6BA7BC3BE8}" keepAlive="1" name="Query - ets_training_data_table" description="Connection to the 'ets_training_data_table' query in the workbook." type="5" refreshedVersion="0" background="1">
    <dbPr connection="Provider=Microsoft.Mashup.OleDb.1;Data Source=$Workbook$;Location=ets_training_data_table;Extended Properties=&quot;&quot;" command="SELECT * FROM [ets_training_data_table]"/>
  </connection>
</connections>
</file>

<file path=xl/sharedStrings.xml><?xml version="1.0" encoding="utf-8"?>
<sst xmlns="http://schemas.openxmlformats.org/spreadsheetml/2006/main" count="5685" uniqueCount="187">
  <si>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</si>
  <si>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</si>
  <si>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</si>
  <si>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</si>
  <si>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</si>
  <si>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</si>
  <si>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</si>
  <si>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</si>
  <si>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</si>
  <si>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</si>
  <si>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</si>
  <si>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</si>
  <si>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</si>
  <si>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</si>
  <si>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</si>
  <si>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</si>
  <si>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</si>
  <si>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</si>
  <si>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</si>
  <si>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</si>
  <si>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</si>
  <si>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</si>
  <si>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</si>
  <si>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</si>
  <si>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</si>
  <si>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</si>
  <si>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</si>
  <si>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</si>
  <si>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</si>
  <si>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</si>
  <si>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</si>
  <si>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</si>
  <si>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</si>
  <si>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</si>
  <si>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</si>
  <si>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</si>
  <si>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</si>
  <si>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</si>
  <si>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</si>
  <si>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</si>
  <si>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</si>
  <si>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</si>
  <si>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</si>
  <si>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</si>
  <si>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</si>
  <si>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</si>
  <si>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</si>
  <si>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</si>
  <si>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</si>
  <si>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</si>
  <si>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</si>
  <si>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</si>
  <si>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</si>
  <si>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</si>
  <si>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</si>
  <si>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</si>
  <si>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</si>
  <si>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</si>
  <si>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</si>
  <si>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</si>
  <si>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</si>
  <si>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</si>
  <si>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</si>
  <si>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</si>
  <si>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</si>
  <si>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</si>
  <si>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</si>
  <si>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</si>
  <si>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</si>
  <si>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</si>
  <si>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</si>
  <si>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</si>
  <si>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</si>
  <si>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</si>
  <si>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</si>
  <si>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</si>
  <si>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</si>
  <si>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</si>
  <si>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</si>
  <si>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</si>
  <si>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</si>
  <si>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</si>
  <si>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</si>
  <si>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</si>
  <si>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</si>
  <si>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</si>
  <si>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</si>
  <si>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</si>
  <si>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</si>
  <si>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</si>
  <si>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</si>
  <si>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</si>
  <si>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</si>
  <si>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</si>
  <si>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</si>
  <si>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</si>
  <si>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</si>
  <si>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</si>
  <si>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</si>
  <si>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</si>
  <si>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</si>
  <si>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</si>
  <si>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</si>
  <si>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</si>
  <si>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</si>
  <si>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</si>
  <si>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</si>
  <si>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</si>
  <si>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</si>
  <si>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</si>
  <si>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</si>
  <si>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</si>
  <si>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</si>
  <si>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</si>
  <si>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</si>
  <si>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</si>
  <si>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</si>
  <si>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</si>
  <si>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</si>
  <si>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</si>
  <si>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</si>
  <si>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</si>
  <si>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</si>
  <si>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</si>
  <si>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</si>
  <si>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</si>
  <si>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</si>
  <si>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</si>
  <si>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</si>
  <si>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</si>
  <si>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</si>
  <si>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</si>
  <si>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</si>
  <si>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</si>
  <si>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</si>
  <si>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</si>
  <si>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</si>
  <si>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</si>
  <si>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</si>
  <si>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</si>
  <si>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</si>
  <si>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</si>
  <si>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</si>
  <si>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C:\P-S_Test\Data</t>
  </si>
  <si>
    <t>L:\P-S_Test\Data</t>
  </si>
  <si>
    <t>DevTemplate_Professional_v4.4.16.xlsm</t>
  </si>
  <si>
    <t>PARA_User_Folder</t>
  </si>
  <si>
    <t>C:\Users\KienLeong</t>
  </si>
  <si>
    <t>item</t>
  </si>
  <si>
    <t>period</t>
  </si>
  <si>
    <t>quantity</t>
  </si>
  <si>
    <t>demand_quantity</t>
  </si>
  <si>
    <t>forecast_quantity</t>
  </si>
  <si>
    <t>Sum of demand_quantity</t>
  </si>
  <si>
    <t>Values</t>
  </si>
  <si>
    <t>RowCount</t>
  </si>
  <si>
    <t/>
  </si>
  <si>
    <t>excel_ets</t>
  </si>
  <si>
    <t>Sum of excel_ets</t>
  </si>
  <si>
    <t>ets_test_and_training_chart</t>
  </si>
  <si>
    <t>actual_quantity</t>
  </si>
  <si>
    <t>Sum of actual_quantity</t>
  </si>
  <si>
    <t>statsmodel_forecast</t>
  </si>
  <si>
    <t>Sum of statsmodel_forecast</t>
  </si>
  <si>
    <t>excel_ets_ae</t>
  </si>
  <si>
    <t>statsmodels_ets_ae</t>
  </si>
  <si>
    <t>Average of excel_ets_ae</t>
  </si>
  <si>
    <t>Average of statsmodels_ets_ae</t>
  </si>
  <si>
    <t>ets_forecast_error</t>
  </si>
  <si>
    <t>sin_item_flat</t>
  </si>
  <si>
    <t>sin_item_trend</t>
  </si>
  <si>
    <t>sin_item_trend_noise</t>
  </si>
  <si>
    <t>complex_item_flat</t>
  </si>
  <si>
    <t>complex_item_trend</t>
  </si>
  <si>
    <t>complex_item_trend_noise</t>
  </si>
  <si>
    <t>Automation ON</t>
  </si>
  <si>
    <t>moving_average</t>
  </si>
  <si>
    <t>moving_average_ae</t>
  </si>
  <si>
    <t>Average of moving_average_ae</t>
  </si>
  <si>
    <t>Sum of moving_average</t>
  </si>
  <si>
    <t>PrevPeriodRow</t>
  </si>
  <si>
    <t>1.1_sin_flat_series</t>
  </si>
  <si>
    <t>1.2_sin_trend_series</t>
  </si>
  <si>
    <t>1.3_sin_trend_noise_series</t>
  </si>
  <si>
    <t>2.1_dual_spikey_flat</t>
  </si>
  <si>
    <t>2.2_dual_spikey_trend</t>
  </si>
  <si>
    <t>2.3_dual_spikey_trend_noise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</si>
</sst>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yy;@"/>
    <numFmt numFmtId="165" formatCode="h:mm:ss;@"/>
    <numFmt numFmtId="166" formatCode="dd\ mmm\ yy\ hh:mm\ AM/PM"/>
  </numFmts>
  <fonts count="32" x14ac:knownFonts="1">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sz val="12"/>
      <color rgb="FF000000"/>
      <name val="Calibri"/>
      <family val="2"/>
    </font>
    <font>
      <sz val="14"/>
      <color rgb="FF000000"/>
      <name val="Calibri"/>
      <family val="2"/>
    </font>
    <font>
      <sz val="13"/>
      <color rgb="FF000000"/>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9"/>
      <name val="Calibri"/>
      <family val="2"/>
      <scheme val="minor"/>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4" fillId="0" borderId="0"/>
    <xf numFmtId="0" fontId="1" fillId="0" borderId="0"/>
    <xf numFmtId="0" fontId="3" fillId="0" borderId="0"/>
  </cellStyleXfs>
  <cellXfs count="62">
    <xf numFmtId="0" fontId="0" fillId="0" borderId="0" xfId="0"/>
    <xf numFmtId="164" fontId="4" fillId="0" borderId="0" xfId="1"/>
    <xf numFmtId="0" fontId="1" fillId="0" borderId="0" xfId="2"/>
    <xf numFmtId="164" fontId="5" fillId="0" borderId="0" xfId="1" applyFont="1"/>
    <xf numFmtId="0" fontId="6" fillId="0" borderId="0" xfId="2" applyFont="1" applyAlignment="1">
      <alignment vertical="center"/>
    </xf>
    <xf numFmtId="0" fontId="7" fillId="0" borderId="0" xfId="2" applyFont="1"/>
    <xf numFmtId="0" fontId="1" fillId="0" borderId="1" xfId="2" applyBorder="1"/>
    <xf numFmtId="166" fontId="1" fillId="0" borderId="1" xfId="2" applyNumberFormat="1" applyBorder="1" applyAlignment="1">
      <alignment horizontal="center"/>
    </xf>
    <xf numFmtId="0" fontId="3" fillId="0" borderId="0" xfId="3"/>
    <xf numFmtId="166" fontId="1" fillId="0" borderId="1" xfId="2" applyNumberFormat="1" applyBorder="1" applyAlignment="1">
      <alignment horizontal="left"/>
    </xf>
    <xf numFmtId="0" fontId="9" fillId="0" borderId="0" xfId="2" applyFont="1"/>
    <xf numFmtId="0" fontId="10" fillId="0" borderId="0" xfId="3" applyFont="1" applyAlignment="1">
      <alignment horizontal="center"/>
    </xf>
    <xf numFmtId="0" fontId="11" fillId="0" borderId="0" xfId="3" applyFont="1"/>
    <xf numFmtId="0" fontId="13" fillId="0" borderId="0" xfId="3" applyFont="1" applyAlignment="1">
      <alignment vertical="top" wrapText="1"/>
    </xf>
    <xf numFmtId="0" fontId="13" fillId="3" borderId="0" xfId="3" applyFont="1" applyFill="1" applyAlignment="1">
      <alignment vertical="top" wrapText="1"/>
    </xf>
    <xf numFmtId="0" fontId="3" fillId="4" borderId="2" xfId="3" applyFill="1" applyBorder="1" applyAlignment="1">
      <alignment horizontal="right"/>
    </xf>
    <xf numFmtId="0" fontId="3" fillId="0" borderId="2" xfId="3" applyBorder="1"/>
    <xf numFmtId="49" fontId="13" fillId="5" borderId="0" xfId="3" applyNumberFormat="1" applyFont="1" applyFill="1" applyAlignment="1">
      <alignment vertical="top" wrapText="1"/>
    </xf>
    <xf numFmtId="0" fontId="14" fillId="0" borderId="0" xfId="3" applyFont="1" applyAlignment="1">
      <alignment vertical="top" wrapText="1"/>
    </xf>
    <xf numFmtId="0" fontId="13" fillId="0" borderId="0" xfId="3" applyFont="1"/>
    <xf numFmtId="3" fontId="3" fillId="0" borderId="0" xfId="3" applyNumberFormat="1"/>
    <xf numFmtId="0" fontId="3" fillId="4" borderId="2" xfId="3" applyFill="1" applyBorder="1"/>
    <xf numFmtId="3" fontId="3" fillId="4" borderId="2" xfId="3" applyNumberFormat="1" applyFill="1" applyBorder="1"/>
    <xf numFmtId="49" fontId="13" fillId="6" borderId="0" xfId="3" applyNumberFormat="1" applyFont="1" applyFill="1" applyAlignment="1">
      <alignment vertical="top" wrapText="1"/>
    </xf>
    <xf numFmtId="0" fontId="1" fillId="0" borderId="0" xfId="2" applyAlignment="1">
      <alignment wrapText="1"/>
    </xf>
    <xf numFmtId="164" fontId="18" fillId="0" borderId="0" xfId="1" applyFont="1" applyAlignment="1">
      <alignment horizontal="center" vertical="center"/>
    </xf>
    <xf numFmtId="0" fontId="19" fillId="0" borderId="0" xfId="2" applyFont="1"/>
    <xf numFmtId="0" fontId="22" fillId="0" borderId="0" xfId="0" applyFont="1"/>
    <xf numFmtId="0" fontId="23" fillId="0" borderId="0" xfId="0" applyFont="1"/>
    <xf numFmtId="0" fontId="0" fillId="0" borderId="0" xfId="0" quotePrefix="1"/>
    <xf numFmtId="0" fontId="0" fillId="0" borderId="0" xfId="0" applyAlignment="1">
      <alignment horizontal="right"/>
    </xf>
    <xf numFmtId="49" fontId="24" fillId="0" borderId="0" xfId="0" applyNumberFormat="1" applyFont="1"/>
    <xf numFmtId="0" fontId="24" fillId="0" borderId="0" xfId="0" applyFont="1"/>
    <xf numFmtId="0" fontId="20" fillId="0" borderId="0" xfId="0" applyFont="1"/>
    <xf numFmtId="22" fontId="3" fillId="0" borderId="0" xfId="3" applyNumberFormat="1"/>
    <xf numFmtId="49" fontId="12" fillId="7" borderId="0" xfId="3" applyNumberFormat="1" applyFont="1" applyFill="1" applyAlignment="1">
      <alignment vertical="top" wrapText="1"/>
    </xf>
    <xf numFmtId="0" fontId="27" fillId="0" borderId="0" xfId="0" applyFont="1"/>
    <xf numFmtId="0" fontId="13" fillId="5" borderId="0" xfId="3" applyFont="1" applyFill="1" applyAlignment="1">
      <alignment vertical="top" wrapText="1"/>
    </xf>
    <xf numFmtId="0" fontId="20" fillId="0" borderId="0" xfId="2" applyFont="1" applyAlignment="1">
      <alignment vertical="top" wrapText="1"/>
    </xf>
    <xf numFmtId="0" fontId="12" fillId="2" borderId="0" xfId="3" applyFont="1" applyFill="1" applyAlignment="1">
      <alignment vertical="top" wrapText="1"/>
    </xf>
    <xf numFmtId="0" fontId="29" fillId="0" borderId="0" xfId="3" applyFont="1"/>
    <xf numFmtId="49" fontId="29" fillId="0" borderId="0" xfId="3" applyNumberFormat="1" applyFont="1" applyAlignment="1">
      <alignment vertical="top" wrapText="1"/>
    </xf>
    <xf numFmtId="0" fontId="29" fillId="0" borderId="0" xfId="3" applyFont="1" applyAlignment="1">
      <alignment horizontal="center"/>
    </xf>
    <xf numFmtId="0" fontId="8" fillId="0" borderId="0" xfId="3" applyFont="1"/>
    <xf numFmtId="14" fontId="8" fillId="0" borderId="0" xfId="3" applyNumberFormat="1" applyFont="1"/>
    <xf numFmtId="0" fontId="30" fillId="0" borderId="0" xfId="3" applyFont="1"/>
    <xf numFmtId="22" fontId="8" fillId="0" borderId="1" xfId="2" applyNumberFormat="1" applyFont="1" applyBorder="1"/>
    <xf numFmtId="0" fontId="29" fillId="0" borderId="1" xfId="2" applyFont="1" applyBorder="1"/>
    <xf numFmtId="0" fontId="4" fillId="0" borderId="0" xfId="1" applyNumberFormat="1"/>
    <xf numFmtId="0" fontId="28" fillId="0" borderId="0" xfId="1" applyNumberFormat="1" applyFont="1" applyAlignment="1">
      <alignment vertical="top" wrapText="1"/>
    </xf>
    <xf numFmtId="0" fontId="4" fillId="0" borderId="0" xfId="1" applyNumberFormat="1" applyAlignment="1">
      <alignment wrapText="1"/>
    </xf>
    <xf numFmtId="165" fontId="9" fillId="0" borderId="1" xfId="2" applyNumberFormat="1" applyFont="1" applyBorder="1" applyAlignment="1">
      <alignment horizontal="center"/>
    </xf>
    <xf numFmtId="0" fontId="8" fillId="0" borderId="1" xfId="2" applyFont="1" applyBorder="1"/>
    <xf numFmtId="0" fontId="0" fillId="0" borderId="0" xfId="0" applyAlignment="1">
      <alignment horizontal="left" vertical="top" wrapText="1"/>
    </xf>
    <xf numFmtId="0" fontId="3" fillId="0" borderId="0" xfId="3" applyFill="1"/>
    <xf numFmtId="0" fontId="13" fillId="0" borderId="0" xfId="3" applyFont="1" applyFill="1" applyAlignment="1">
      <alignment vertical="top" wrapText="1"/>
    </xf>
    <xf numFmtId="0" fontId="0" fillId="0" borderId="0" xfId="0" applyNumberFormat="1"/>
    <xf numFmtId="0" fontId="0" fillId="0" borderId="0" xfId="0" pivotButton="1"/>
    <xf numFmtId="14" fontId="0" fillId="0" borderId="0" xfId="0" applyNumberFormat="1"/>
    <xf numFmtId="0" fontId="3" fillId="0" borderId="0" xfId="3" applyNumberFormat="1" applyFill="1"/>
    <xf numFmtId="14" fontId="3" fillId="0" borderId="0" xfId="3" applyNumberFormat="1" applyFill="1"/>
    <xf numFmtId="0" fontId="31" fillId="0" borderId="0" xfId="2" applyFont="1" applyAlignment="1">
      <alignment horizontal="center"/>
    </xf>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32">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yyyy/mm/dd"/>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yyyy/mm/dd"/>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yyyy/mm/dd"/>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yyyy/mm/dd"/>
      <fill>
        <patternFill patternType="none">
          <fgColor indexed="64"/>
          <bgColor indexed="65"/>
        </patternFill>
      </fill>
    </dxf>
    <dxf>
      <numFmt numFmtId="0" formatCode="General"/>
      <fill>
        <patternFill patternType="none">
          <fgColor indexed="64"/>
          <bgColor indexed="65"/>
        </patternFill>
      </fill>
    </dxf>
    <dxf>
      <font>
        <color theme="0" tint="-0.24994659260841701"/>
      </font>
    </dxf>
    <dxf>
      <font>
        <color theme="0" tint="-0.24994659260841701"/>
      </font>
    </dxf>
    <dxf>
      <numFmt numFmtId="19" formatCode="yyyy/mm/dd"/>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[Forecast_ETS_v01.01.xlsm]ets_test_and_training_chart!ets_test_and_training_chart</c:name>
    <c:fmtId val="1"/>
  </c:pivotSource>
  <c:chart>
    <c:autoTitleDeleted val="0"/>
    <c:pivotFmts>
      <c:pivotFmt>
        <c:idx val="0"/>
        <c:spPr>
          <a:ln w="28575" cap="rnd">
            <a:solidFill>
              <a:schemeClr val="tx1">
                <a:lumMod val="65000"/>
                <a:lumOff val="3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bg1">
                <a:lumMod val="8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ets_test_and_training_chart!$B$9:$B$10</c:f>
              <c:strCache>
                <c:ptCount val="1"/>
                <c:pt idx="0">
                  <c:v>Sum of demand_quantity</c:v>
                </c:pt>
              </c:strCache>
            </c:strRef>
          </c:tx>
          <c:spPr>
            <a:ln w="28575" cap="rnd">
              <a:solidFill>
                <a:schemeClr val="tx1">
                  <a:lumMod val="65000"/>
                  <a:lumOff val="35000"/>
                </a:schemeClr>
              </a:solidFill>
              <a:round/>
            </a:ln>
            <a:effectLst/>
          </c:spPr>
          <c:marker>
            <c:symbol val="none"/>
          </c:marker>
          <c:cat>
            <c:strRef>
              <c:f>ets_test_and_training_chart!$A$11:$A$192</c:f>
              <c:strCache>
                <c:ptCount val="182"/>
                <c:pt idx="0">
                  <c:v>2022-01-09</c:v>
                </c:pt>
                <c:pt idx="1">
                  <c:v>2022-01-16</c:v>
                </c:pt>
                <c:pt idx="2">
                  <c:v>2022-01-23</c:v>
                </c:pt>
                <c:pt idx="3">
                  <c:v>2022-01-30</c:v>
                </c:pt>
                <c:pt idx="4">
                  <c:v>2022-02-06</c:v>
                </c:pt>
                <c:pt idx="5">
                  <c:v>2022-02-13</c:v>
                </c:pt>
                <c:pt idx="6">
                  <c:v>2022-02-20</c:v>
                </c:pt>
                <c:pt idx="7">
                  <c:v>2022-02-27</c:v>
                </c:pt>
                <c:pt idx="8">
                  <c:v>2022-03-06</c:v>
                </c:pt>
                <c:pt idx="9">
                  <c:v>2022-03-13</c:v>
                </c:pt>
                <c:pt idx="10">
                  <c:v>2022-03-20</c:v>
                </c:pt>
                <c:pt idx="11">
                  <c:v>2022-03-27</c:v>
                </c:pt>
                <c:pt idx="12">
                  <c:v>2022-04-03</c:v>
                </c:pt>
                <c:pt idx="13">
                  <c:v>2022-04-10</c:v>
                </c:pt>
                <c:pt idx="14">
                  <c:v>2022-04-17</c:v>
                </c:pt>
                <c:pt idx="15">
                  <c:v>2022-04-24</c:v>
                </c:pt>
                <c:pt idx="16">
                  <c:v>2022-05-01</c:v>
                </c:pt>
                <c:pt idx="17">
                  <c:v>2022-05-08</c:v>
                </c:pt>
                <c:pt idx="18">
                  <c:v>2022-05-15</c:v>
                </c:pt>
                <c:pt idx="19">
                  <c:v>2022-05-22</c:v>
                </c:pt>
                <c:pt idx="20">
                  <c:v>2022-05-29</c:v>
                </c:pt>
                <c:pt idx="21">
                  <c:v>2022-06-05</c:v>
                </c:pt>
                <c:pt idx="22">
                  <c:v>2022-06-12</c:v>
                </c:pt>
                <c:pt idx="23">
                  <c:v>2022-06-19</c:v>
                </c:pt>
                <c:pt idx="24">
                  <c:v>2022-06-26</c:v>
                </c:pt>
                <c:pt idx="25">
                  <c:v>2022-07-03</c:v>
                </c:pt>
                <c:pt idx="26">
                  <c:v>2022-07-10</c:v>
                </c:pt>
                <c:pt idx="27">
                  <c:v>2022-07-17</c:v>
                </c:pt>
                <c:pt idx="28">
                  <c:v>2022-07-24</c:v>
                </c:pt>
                <c:pt idx="29">
                  <c:v>2022-07-31</c:v>
                </c:pt>
                <c:pt idx="30">
                  <c:v>2022-08-07</c:v>
                </c:pt>
                <c:pt idx="31">
                  <c:v>2022-08-14</c:v>
                </c:pt>
                <c:pt idx="32">
                  <c:v>2022-08-21</c:v>
                </c:pt>
                <c:pt idx="33">
                  <c:v>2022-08-28</c:v>
                </c:pt>
                <c:pt idx="34">
                  <c:v>2022-09-04</c:v>
                </c:pt>
                <c:pt idx="35">
                  <c:v>2022-09-11</c:v>
                </c:pt>
                <c:pt idx="36">
                  <c:v>2022-09-18</c:v>
                </c:pt>
                <c:pt idx="37">
                  <c:v>2022-09-25</c:v>
                </c:pt>
                <c:pt idx="38">
                  <c:v>2022-10-02</c:v>
                </c:pt>
                <c:pt idx="39">
                  <c:v>2022-10-09</c:v>
                </c:pt>
                <c:pt idx="40">
                  <c:v>2022-10-16</c:v>
                </c:pt>
                <c:pt idx="41">
                  <c:v>2022-10-23</c:v>
                </c:pt>
                <c:pt idx="42">
                  <c:v>2022-10-30</c:v>
                </c:pt>
                <c:pt idx="43">
                  <c:v>2022-11-06</c:v>
                </c:pt>
                <c:pt idx="44">
                  <c:v>2022-11-13</c:v>
                </c:pt>
                <c:pt idx="45">
                  <c:v>2022-11-20</c:v>
                </c:pt>
                <c:pt idx="46">
                  <c:v>2022-11-27</c:v>
                </c:pt>
                <c:pt idx="47">
                  <c:v>2022-12-04</c:v>
                </c:pt>
                <c:pt idx="48">
                  <c:v>2022-12-11</c:v>
                </c:pt>
                <c:pt idx="49">
                  <c:v>2022-12-18</c:v>
                </c:pt>
                <c:pt idx="50">
                  <c:v>2022-12-25</c:v>
                </c:pt>
                <c:pt idx="51">
                  <c:v>2023-01-01</c:v>
                </c:pt>
                <c:pt idx="52">
                  <c:v>2023-01-08</c:v>
                </c:pt>
                <c:pt idx="53">
                  <c:v>2023-01-15</c:v>
                </c:pt>
                <c:pt idx="54">
                  <c:v>2023-01-22</c:v>
                </c:pt>
                <c:pt idx="55">
                  <c:v>2023-01-29</c:v>
                </c:pt>
                <c:pt idx="56">
                  <c:v>2023-02-05</c:v>
                </c:pt>
                <c:pt idx="57">
                  <c:v>2023-02-12</c:v>
                </c:pt>
                <c:pt idx="58">
                  <c:v>2023-02-19</c:v>
                </c:pt>
                <c:pt idx="59">
                  <c:v>2023-02-26</c:v>
                </c:pt>
                <c:pt idx="60">
                  <c:v>2023-03-05</c:v>
                </c:pt>
                <c:pt idx="61">
                  <c:v>2023-03-12</c:v>
                </c:pt>
                <c:pt idx="62">
                  <c:v>2023-03-19</c:v>
                </c:pt>
                <c:pt idx="63">
                  <c:v>2023-03-26</c:v>
                </c:pt>
                <c:pt idx="64">
                  <c:v>2023-04-02</c:v>
                </c:pt>
                <c:pt idx="65">
                  <c:v>2023-04-09</c:v>
                </c:pt>
                <c:pt idx="66">
                  <c:v>2023-04-16</c:v>
                </c:pt>
                <c:pt idx="67">
                  <c:v>2023-04-23</c:v>
                </c:pt>
                <c:pt idx="68">
                  <c:v>2023-04-30</c:v>
                </c:pt>
                <c:pt idx="69">
                  <c:v>2023-05-07</c:v>
                </c:pt>
                <c:pt idx="70">
                  <c:v>2023-05-14</c:v>
                </c:pt>
                <c:pt idx="71">
                  <c:v>2023-05-21</c:v>
                </c:pt>
                <c:pt idx="72">
                  <c:v>2023-05-28</c:v>
                </c:pt>
                <c:pt idx="73">
                  <c:v>2023-06-04</c:v>
                </c:pt>
                <c:pt idx="74">
                  <c:v>2023-06-11</c:v>
                </c:pt>
                <c:pt idx="75">
                  <c:v>2023-06-18</c:v>
                </c:pt>
                <c:pt idx="76">
                  <c:v>2023-06-25</c:v>
                </c:pt>
                <c:pt idx="77">
                  <c:v>2023-07-02</c:v>
                </c:pt>
                <c:pt idx="78">
                  <c:v>2023-07-09</c:v>
                </c:pt>
                <c:pt idx="79">
                  <c:v>2023-07-16</c:v>
                </c:pt>
                <c:pt idx="80">
                  <c:v>2023-07-23</c:v>
                </c:pt>
                <c:pt idx="81">
                  <c:v>2023-07-30</c:v>
                </c:pt>
                <c:pt idx="82">
                  <c:v>2023-08-06</c:v>
                </c:pt>
                <c:pt idx="83">
                  <c:v>2023-08-13</c:v>
                </c:pt>
                <c:pt idx="84">
                  <c:v>2023-08-20</c:v>
                </c:pt>
                <c:pt idx="85">
                  <c:v>2023-08-27</c:v>
                </c:pt>
                <c:pt idx="86">
                  <c:v>2023-09-03</c:v>
                </c:pt>
                <c:pt idx="87">
                  <c:v>2023-09-10</c:v>
                </c:pt>
                <c:pt idx="88">
                  <c:v>2023-09-17</c:v>
                </c:pt>
                <c:pt idx="89">
                  <c:v>2023-09-24</c:v>
                </c:pt>
                <c:pt idx="90">
                  <c:v>2023-10-01</c:v>
                </c:pt>
                <c:pt idx="91">
                  <c:v>2023-10-08</c:v>
                </c:pt>
                <c:pt idx="92">
                  <c:v>2023-10-15</c:v>
                </c:pt>
                <c:pt idx="93">
                  <c:v>2023-10-22</c:v>
                </c:pt>
                <c:pt idx="94">
                  <c:v>2023-10-29</c:v>
                </c:pt>
                <c:pt idx="95">
                  <c:v>2023-11-05</c:v>
                </c:pt>
                <c:pt idx="96">
                  <c:v>2023-11-12</c:v>
                </c:pt>
                <c:pt idx="97">
                  <c:v>2023-11-19</c:v>
                </c:pt>
                <c:pt idx="98">
                  <c:v>2023-11-26</c:v>
                </c:pt>
                <c:pt idx="99">
                  <c:v>2023-12-03</c:v>
                </c:pt>
                <c:pt idx="100">
                  <c:v>2023-12-10</c:v>
                </c:pt>
                <c:pt idx="101">
                  <c:v>2023-12-17</c:v>
                </c:pt>
                <c:pt idx="102">
                  <c:v>2023-12-24</c:v>
                </c:pt>
                <c:pt idx="103">
                  <c:v>2023-12-31</c:v>
                </c:pt>
                <c:pt idx="104">
                  <c:v>2024-01-07</c:v>
                </c:pt>
                <c:pt idx="105">
                  <c:v>2024-01-14</c:v>
                </c:pt>
                <c:pt idx="106">
                  <c:v>2024-01-21</c:v>
                </c:pt>
                <c:pt idx="107">
                  <c:v>2024-01-28</c:v>
                </c:pt>
                <c:pt idx="108">
                  <c:v>2024-02-04</c:v>
                </c:pt>
                <c:pt idx="109">
                  <c:v>2024-02-11</c:v>
                </c:pt>
                <c:pt idx="110">
                  <c:v>2024-02-18</c:v>
                </c:pt>
                <c:pt idx="111">
                  <c:v>2024-02-25</c:v>
                </c:pt>
                <c:pt idx="112">
                  <c:v>2024-03-03</c:v>
                </c:pt>
                <c:pt idx="113">
                  <c:v>2024-03-10</c:v>
                </c:pt>
                <c:pt idx="114">
                  <c:v>2024-03-17</c:v>
                </c:pt>
                <c:pt idx="115">
                  <c:v>2024-03-24</c:v>
                </c:pt>
                <c:pt idx="116">
                  <c:v>2024-03-31</c:v>
                </c:pt>
                <c:pt idx="117">
                  <c:v>2024-04-07</c:v>
                </c:pt>
                <c:pt idx="118">
                  <c:v>2024-04-14</c:v>
                </c:pt>
                <c:pt idx="119">
                  <c:v>2024-04-21</c:v>
                </c:pt>
                <c:pt idx="120">
                  <c:v>2024-04-28</c:v>
                </c:pt>
                <c:pt idx="121">
                  <c:v>2024-05-05</c:v>
                </c:pt>
                <c:pt idx="122">
                  <c:v>2024-05-12</c:v>
                </c:pt>
                <c:pt idx="123">
                  <c:v>2024-05-19</c:v>
                </c:pt>
                <c:pt idx="124">
                  <c:v>2024-05-26</c:v>
                </c:pt>
                <c:pt idx="125">
                  <c:v>2024-06-02</c:v>
                </c:pt>
                <c:pt idx="126">
                  <c:v>2024-06-09</c:v>
                </c:pt>
                <c:pt idx="127">
                  <c:v>2024-06-16</c:v>
                </c:pt>
                <c:pt idx="128">
                  <c:v>2024-06-23</c:v>
                </c:pt>
                <c:pt idx="129">
                  <c:v>2024-06-30</c:v>
                </c:pt>
                <c:pt idx="130">
                  <c:v>2024-07-07</c:v>
                </c:pt>
                <c:pt idx="131">
                  <c:v>2024-07-14</c:v>
                </c:pt>
                <c:pt idx="132">
                  <c:v>2024-07-21</c:v>
                </c:pt>
                <c:pt idx="133">
                  <c:v>2024-07-28</c:v>
                </c:pt>
                <c:pt idx="134">
                  <c:v>2024-08-04</c:v>
                </c:pt>
                <c:pt idx="135">
                  <c:v>2024-08-11</c:v>
                </c:pt>
                <c:pt idx="136">
                  <c:v>2024-08-18</c:v>
                </c:pt>
                <c:pt idx="137">
                  <c:v>2024-08-25</c:v>
                </c:pt>
                <c:pt idx="138">
                  <c:v>2024-09-01</c:v>
                </c:pt>
                <c:pt idx="139">
                  <c:v>2024-09-08</c:v>
                </c:pt>
                <c:pt idx="140">
                  <c:v>2024-09-15</c:v>
                </c:pt>
                <c:pt idx="141">
                  <c:v>2024-09-22</c:v>
                </c:pt>
                <c:pt idx="142">
                  <c:v>2024-09-29</c:v>
                </c:pt>
                <c:pt idx="143">
                  <c:v>2024-10-06</c:v>
                </c:pt>
                <c:pt idx="144">
                  <c:v>2024-10-13</c:v>
                </c:pt>
                <c:pt idx="145">
                  <c:v>2024-10-20</c:v>
                </c:pt>
                <c:pt idx="146">
                  <c:v>2024-10-27</c:v>
                </c:pt>
                <c:pt idx="147">
                  <c:v>2024-11-03</c:v>
                </c:pt>
                <c:pt idx="148">
                  <c:v>2024-11-10</c:v>
                </c:pt>
                <c:pt idx="149">
                  <c:v>2024-11-17</c:v>
                </c:pt>
                <c:pt idx="150">
                  <c:v>2024-11-24</c:v>
                </c:pt>
                <c:pt idx="151">
                  <c:v>2024-12-01</c:v>
                </c:pt>
                <c:pt idx="152">
                  <c:v>2024-12-08</c:v>
                </c:pt>
                <c:pt idx="153">
                  <c:v>2024-12-15</c:v>
                </c:pt>
                <c:pt idx="154">
                  <c:v>2024-12-22</c:v>
                </c:pt>
                <c:pt idx="155">
                  <c:v>2024-12-29</c:v>
                </c:pt>
                <c:pt idx="156">
                  <c:v>2025-01-05</c:v>
                </c:pt>
                <c:pt idx="157">
                  <c:v>2025-01-12</c:v>
                </c:pt>
                <c:pt idx="158">
                  <c:v>2025-01-19</c:v>
                </c:pt>
                <c:pt idx="159">
                  <c:v>2025-01-26</c:v>
                </c:pt>
                <c:pt idx="160">
                  <c:v>2025-02-02</c:v>
                </c:pt>
                <c:pt idx="161">
                  <c:v>2025-02-09</c:v>
                </c:pt>
                <c:pt idx="162">
                  <c:v>2025-02-16</c:v>
                </c:pt>
                <c:pt idx="163">
                  <c:v>2025-02-23</c:v>
                </c:pt>
                <c:pt idx="164">
                  <c:v>2025-03-02</c:v>
                </c:pt>
                <c:pt idx="165">
                  <c:v>2025-03-09</c:v>
                </c:pt>
                <c:pt idx="166">
                  <c:v>2025-03-16</c:v>
                </c:pt>
                <c:pt idx="167">
                  <c:v>2025-03-23</c:v>
                </c:pt>
                <c:pt idx="168">
                  <c:v>2025-03-30</c:v>
                </c:pt>
                <c:pt idx="169">
                  <c:v>2025-04-06</c:v>
                </c:pt>
                <c:pt idx="170">
                  <c:v>2025-04-13</c:v>
                </c:pt>
                <c:pt idx="171">
                  <c:v>2025-04-20</c:v>
                </c:pt>
                <c:pt idx="172">
                  <c:v>2025-04-27</c:v>
                </c:pt>
                <c:pt idx="173">
                  <c:v>2025-05-04</c:v>
                </c:pt>
                <c:pt idx="174">
                  <c:v>2025-05-11</c:v>
                </c:pt>
                <c:pt idx="175">
                  <c:v>2025-05-18</c:v>
                </c:pt>
                <c:pt idx="176">
                  <c:v>2025-05-25</c:v>
                </c:pt>
                <c:pt idx="177">
                  <c:v>2025-06-01</c:v>
                </c:pt>
                <c:pt idx="178">
                  <c:v>2025-06-08</c:v>
                </c:pt>
                <c:pt idx="179">
                  <c:v>2025-06-15</c:v>
                </c:pt>
                <c:pt idx="180">
                  <c:v>2025-06-22</c:v>
                </c:pt>
                <c:pt idx="181">
                  <c:v>2025-06-29</c:v>
                </c:pt>
              </c:strCache>
            </c:strRef>
          </c:cat>
          <c:val>
            <c:numRef>
              <c:f>ets_test_and_training_chart!$B$11:$B$192</c:f>
              <c:numCache>
                <c:formatCode>General</c:formatCode>
                <c:ptCount val="182"/>
                <c:pt idx="0">
                  <c:v>116.36408474545787</c:v>
                </c:pt>
                <c:pt idx="1">
                  <c:v>125.52874595258821</c:v>
                </c:pt>
                <c:pt idx="2">
                  <c:v>86.163966859537595</c:v>
                </c:pt>
                <c:pt idx="3">
                  <c:v>314.32377496500806</c:v>
                </c:pt>
                <c:pt idx="4">
                  <c:v>76.27035319297002</c:v>
                </c:pt>
                <c:pt idx="5">
                  <c:v>97.751852069531822</c:v>
                </c:pt>
                <c:pt idx="6">
                  <c:v>0</c:v>
                </c:pt>
                <c:pt idx="7">
                  <c:v>166.45923060554497</c:v>
                </c:pt>
                <c:pt idx="8">
                  <c:v>66.954166769755915</c:v>
                </c:pt>
                <c:pt idx="9">
                  <c:v>96.716213333936651</c:v>
                </c:pt>
                <c:pt idx="10">
                  <c:v>68.792902508433514</c:v>
                </c:pt>
                <c:pt idx="11">
                  <c:v>92.267969639662226</c:v>
                </c:pt>
                <c:pt idx="12">
                  <c:v>83.125050018531525</c:v>
                </c:pt>
                <c:pt idx="13">
                  <c:v>102.79647242885137</c:v>
                </c:pt>
                <c:pt idx="14">
                  <c:v>104.56378408664864</c:v>
                </c:pt>
                <c:pt idx="15">
                  <c:v>99.964848095942315</c:v>
                </c:pt>
                <c:pt idx="16">
                  <c:v>90.82058051141972</c:v>
                </c:pt>
                <c:pt idx="17">
                  <c:v>179.90848886059487</c:v>
                </c:pt>
                <c:pt idx="18">
                  <c:v>162.21148729609581</c:v>
                </c:pt>
                <c:pt idx="19">
                  <c:v>174.25910258897571</c:v>
                </c:pt>
                <c:pt idx="20">
                  <c:v>81.082590420585575</c:v>
                </c:pt>
                <c:pt idx="21">
                  <c:v>200.36123087061804</c:v>
                </c:pt>
                <c:pt idx="22">
                  <c:v>179.25205798899103</c:v>
                </c:pt>
                <c:pt idx="23">
                  <c:v>100.81646684474335</c:v>
                </c:pt>
                <c:pt idx="24">
                  <c:v>194.79805082302261</c:v>
                </c:pt>
                <c:pt idx="25">
                  <c:v>62.40827816971111</c:v>
                </c:pt>
                <c:pt idx="26">
                  <c:v>3.2895126719322434</c:v>
                </c:pt>
                <c:pt idx="27">
                  <c:v>166.72594015538905</c:v>
                </c:pt>
                <c:pt idx="28">
                  <c:v>93.986071978293765</c:v>
                </c:pt>
                <c:pt idx="29">
                  <c:v>159.25264485798451</c:v>
                </c:pt>
                <c:pt idx="30">
                  <c:v>56.199167172004529</c:v>
                </c:pt>
                <c:pt idx="31">
                  <c:v>31.384602617034943</c:v>
                </c:pt>
                <c:pt idx="32">
                  <c:v>181.65725172800398</c:v>
                </c:pt>
                <c:pt idx="33">
                  <c:v>16.324083125885537</c:v>
                </c:pt>
                <c:pt idx="34">
                  <c:v>7.9684956222059924</c:v>
                </c:pt>
                <c:pt idx="35">
                  <c:v>0</c:v>
                </c:pt>
                <c:pt idx="36">
                  <c:v>0</c:v>
                </c:pt>
                <c:pt idx="37">
                  <c:v>49.388603987890477</c:v>
                </c:pt>
                <c:pt idx="38">
                  <c:v>0</c:v>
                </c:pt>
                <c:pt idx="39">
                  <c:v>115.21110307993744</c:v>
                </c:pt>
                <c:pt idx="40">
                  <c:v>0</c:v>
                </c:pt>
                <c:pt idx="41">
                  <c:v>41.275827293000376</c:v>
                </c:pt>
                <c:pt idx="42">
                  <c:v>256.84080161438766</c:v>
                </c:pt>
                <c:pt idx="43">
                  <c:v>125.34992079742781</c:v>
                </c:pt>
                <c:pt idx="44">
                  <c:v>110.4159202207296</c:v>
                </c:pt>
                <c:pt idx="45">
                  <c:v>4.7299406537832596</c:v>
                </c:pt>
                <c:pt idx="46">
                  <c:v>87.009345057444648</c:v>
                </c:pt>
                <c:pt idx="47">
                  <c:v>109.1378041408248</c:v>
                </c:pt>
                <c:pt idx="48">
                  <c:v>4.8055473257113732</c:v>
                </c:pt>
                <c:pt idx="49">
                  <c:v>112.3025140506948</c:v>
                </c:pt>
                <c:pt idx="50">
                  <c:v>172.88324625725153</c:v>
                </c:pt>
                <c:pt idx="51">
                  <c:v>80.455974729360662</c:v>
                </c:pt>
                <c:pt idx="52">
                  <c:v>89.341584228678613</c:v>
                </c:pt>
                <c:pt idx="53">
                  <c:v>0</c:v>
                </c:pt>
                <c:pt idx="54">
                  <c:v>17.300013243632634</c:v>
                </c:pt>
                <c:pt idx="55">
                  <c:v>164.75612004165833</c:v>
                </c:pt>
                <c:pt idx="56">
                  <c:v>61.642587333313173</c:v>
                </c:pt>
                <c:pt idx="57">
                  <c:v>45.595000066736368</c:v>
                </c:pt>
                <c:pt idx="58">
                  <c:v>59.865665035908002</c:v>
                </c:pt>
                <c:pt idx="59">
                  <c:v>98.016600102526951</c:v>
                </c:pt>
                <c:pt idx="60">
                  <c:v>32.067182081664384</c:v>
                </c:pt>
                <c:pt idx="61">
                  <c:v>109.14978517101169</c:v>
                </c:pt>
                <c:pt idx="62">
                  <c:v>20.05900623071966</c:v>
                </c:pt>
                <c:pt idx="63">
                  <c:v>152.25885263580969</c:v>
                </c:pt>
                <c:pt idx="64">
                  <c:v>38.313524521082428</c:v>
                </c:pt>
                <c:pt idx="65">
                  <c:v>181.46471425242493</c:v>
                </c:pt>
                <c:pt idx="66">
                  <c:v>104.13935018266825</c:v>
                </c:pt>
                <c:pt idx="67">
                  <c:v>63.598389010902736</c:v>
                </c:pt>
                <c:pt idx="68">
                  <c:v>183.58098187151339</c:v>
                </c:pt>
                <c:pt idx="69">
                  <c:v>31.860194543012028</c:v>
                </c:pt>
                <c:pt idx="70">
                  <c:v>91.127037104115189</c:v>
                </c:pt>
                <c:pt idx="71">
                  <c:v>138.37479852222549</c:v>
                </c:pt>
                <c:pt idx="72">
                  <c:v>117.79437252828978</c:v>
                </c:pt>
                <c:pt idx="73">
                  <c:v>0</c:v>
                </c:pt>
                <c:pt idx="74">
                  <c:v>51.665710983120405</c:v>
                </c:pt>
                <c:pt idx="75">
                  <c:v>142.79686239208499</c:v>
                </c:pt>
                <c:pt idx="76">
                  <c:v>33.436652986392176</c:v>
                </c:pt>
                <c:pt idx="77">
                  <c:v>184.18416418657245</c:v>
                </c:pt>
                <c:pt idx="78">
                  <c:v>133.28352216400071</c:v>
                </c:pt>
                <c:pt idx="79">
                  <c:v>71.87111932261746</c:v>
                </c:pt>
                <c:pt idx="80">
                  <c:v>96.448174888086939</c:v>
                </c:pt>
                <c:pt idx="81">
                  <c:v>215.24996142023014</c:v>
                </c:pt>
                <c:pt idx="82">
                  <c:v>160.88718077259671</c:v>
                </c:pt>
                <c:pt idx="83">
                  <c:v>129.0129661001385</c:v>
                </c:pt>
                <c:pt idx="84">
                  <c:v>18.513651987707689</c:v>
                </c:pt>
                <c:pt idx="85">
                  <c:v>202.62852601271726</c:v>
                </c:pt>
                <c:pt idx="86">
                  <c:v>166.50892999578471</c:v>
                </c:pt>
                <c:pt idx="87">
                  <c:v>99.10225478509436</c:v>
                </c:pt>
                <c:pt idx="88">
                  <c:v>77.605184290974208</c:v>
                </c:pt>
                <c:pt idx="89">
                  <c:v>101.93273468877105</c:v>
                </c:pt>
                <c:pt idx="90">
                  <c:v>36.758707990203362</c:v>
                </c:pt>
                <c:pt idx="91">
                  <c:v>80.28975528590135</c:v>
                </c:pt>
                <c:pt idx="92">
                  <c:v>158.18350550821748</c:v>
                </c:pt>
                <c:pt idx="93">
                  <c:v>8.292772218880728</c:v>
                </c:pt>
                <c:pt idx="94">
                  <c:v>103.36708986578606</c:v>
                </c:pt>
                <c:pt idx="95">
                  <c:v>112.62821336390655</c:v>
                </c:pt>
                <c:pt idx="96">
                  <c:v>113.07917728035987</c:v>
                </c:pt>
                <c:pt idx="97">
                  <c:v>37.975634749008861</c:v>
                </c:pt>
                <c:pt idx="98">
                  <c:v>33.928278413794487</c:v>
                </c:pt>
                <c:pt idx="99">
                  <c:v>169.93545336841208</c:v>
                </c:pt>
                <c:pt idx="100">
                  <c:v>30.962767446880363</c:v>
                </c:pt>
                <c:pt idx="101">
                  <c:v>165.32257632553285</c:v>
                </c:pt>
                <c:pt idx="102">
                  <c:v>75.895296051145436</c:v>
                </c:pt>
                <c:pt idx="103">
                  <c:v>169.5633723166377</c:v>
                </c:pt>
                <c:pt idx="104">
                  <c:v>79.535007153915956</c:v>
                </c:pt>
                <c:pt idx="105">
                  <c:v>34.929022906102588</c:v>
                </c:pt>
                <c:pt idx="106">
                  <c:v>156.43084002317585</c:v>
                </c:pt>
                <c:pt idx="107">
                  <c:v>104.11922598328809</c:v>
                </c:pt>
                <c:pt idx="108">
                  <c:v>192.20088860830657</c:v>
                </c:pt>
                <c:pt idx="109">
                  <c:v>158.96286322641103</c:v>
                </c:pt>
                <c:pt idx="110">
                  <c:v>91.782923809952024</c:v>
                </c:pt>
                <c:pt idx="111">
                  <c:v>78.701032959348964</c:v>
                </c:pt>
                <c:pt idx="112">
                  <c:v>107.27606504995987</c:v>
                </c:pt>
                <c:pt idx="113">
                  <c:v>117.38362791292504</c:v>
                </c:pt>
                <c:pt idx="114">
                  <c:v>53.203593288456453</c:v>
                </c:pt>
                <c:pt idx="115">
                  <c:v>156.90577908090242</c:v>
                </c:pt>
                <c:pt idx="116">
                  <c:v>87.77311831924348</c:v>
                </c:pt>
                <c:pt idx="117">
                  <c:v>84.241464381905999</c:v>
                </c:pt>
                <c:pt idx="118">
                  <c:v>74.332397777209877</c:v>
                </c:pt>
                <c:pt idx="119">
                  <c:v>156.4523252566166</c:v>
                </c:pt>
                <c:pt idx="120">
                  <c:v>82.872549062362765</c:v>
                </c:pt>
                <c:pt idx="121">
                  <c:v>149.62980823774825</c:v>
                </c:pt>
                <c:pt idx="122">
                  <c:v>300.89266087917781</c:v>
                </c:pt>
                <c:pt idx="123">
                  <c:v>129.93601681683379</c:v>
                </c:pt>
                <c:pt idx="124">
                  <c:v>106.1783396594937</c:v>
                </c:pt>
                <c:pt idx="125">
                  <c:v>31.156109669111984</c:v>
                </c:pt>
                <c:pt idx="126">
                  <c:v>131.94442702282569</c:v>
                </c:pt>
                <c:pt idx="127">
                  <c:v>64.660722534974809</c:v>
                </c:pt>
                <c:pt idx="128">
                  <c:v>100.9083300369209</c:v>
                </c:pt>
                <c:pt idx="129">
                  <c:v>121.34320996033865</c:v>
                </c:pt>
                <c:pt idx="130">
                  <c:v>5.9073782210628423</c:v>
                </c:pt>
                <c:pt idx="131">
                  <c:v>118.90308317371932</c:v>
                </c:pt>
                <c:pt idx="132">
                  <c:v>127.84333103664295</c:v>
                </c:pt>
                <c:pt idx="133">
                  <c:v>32.823515812114465</c:v>
                </c:pt>
                <c:pt idx="134">
                  <c:v>88.072221372285725</c:v>
                </c:pt>
                <c:pt idx="135">
                  <c:v>3.8188954926357894</c:v>
                </c:pt>
                <c:pt idx="136">
                  <c:v>206.80923471806256</c:v>
                </c:pt>
                <c:pt idx="137">
                  <c:v>131.55955667734253</c:v>
                </c:pt>
                <c:pt idx="138">
                  <c:v>107.3854059338625</c:v>
                </c:pt>
                <c:pt idx="139">
                  <c:v>115.9958065444079</c:v>
                </c:pt>
                <c:pt idx="140">
                  <c:v>191.16739519060189</c:v>
                </c:pt>
                <c:pt idx="141">
                  <c:v>123.7227230241885</c:v>
                </c:pt>
                <c:pt idx="142">
                  <c:v>141.65248810546652</c:v>
                </c:pt>
                <c:pt idx="143">
                  <c:v>213.62724306997944</c:v>
                </c:pt>
                <c:pt idx="144">
                  <c:v>94.739592533578659</c:v>
                </c:pt>
                <c:pt idx="145">
                  <c:v>58.958838410013016</c:v>
                </c:pt>
                <c:pt idx="146">
                  <c:v>74.817497506702097</c:v>
                </c:pt>
                <c:pt idx="147">
                  <c:v>211.51315189827523</c:v>
                </c:pt>
                <c:pt idx="148">
                  <c:v>123.21417774941187</c:v>
                </c:pt>
                <c:pt idx="149">
                  <c:v>102.12165830587477</c:v>
                </c:pt>
                <c:pt idx="150">
                  <c:v>175.81964095231592</c:v>
                </c:pt>
                <c:pt idx="151">
                  <c:v>176.61054787840527</c:v>
                </c:pt>
                <c:pt idx="152">
                  <c:v>88.455743905649001</c:v>
                </c:pt>
                <c:pt idx="153">
                  <c:v>57.89534184217711</c:v>
                </c:pt>
                <c:pt idx="154">
                  <c:v>22.285342312150235</c:v>
                </c:pt>
                <c:pt idx="155">
                  <c:v>9.0932304560080297</c:v>
                </c:pt>
              </c:numCache>
            </c:numRef>
          </c:val>
          <c:smooth val="0"/>
          <c:extLst>
            <c:ext xmlns:c16="http://schemas.microsoft.com/office/drawing/2014/chart" uri="{C3380CC4-5D6E-409C-BE32-E72D297353CC}">
              <c16:uniqueId val="{00000000-C9BB-4B79-B32B-75FBFC190D2D}"/>
            </c:ext>
          </c:extLst>
        </c:ser>
        <c:ser>
          <c:idx val="1"/>
          <c:order val="1"/>
          <c:tx>
            <c:strRef>
              <c:f>ets_test_and_training_chart!$C$9:$C$10</c:f>
              <c:strCache>
                <c:ptCount val="1"/>
                <c:pt idx="0">
                  <c:v>Sum of actual_quantity</c:v>
                </c:pt>
              </c:strCache>
            </c:strRef>
          </c:tx>
          <c:spPr>
            <a:ln w="28575" cap="rnd">
              <a:solidFill>
                <a:schemeClr val="bg1">
                  <a:lumMod val="85000"/>
                </a:schemeClr>
              </a:solidFill>
              <a:round/>
            </a:ln>
            <a:effectLst/>
          </c:spPr>
          <c:marker>
            <c:symbol val="none"/>
          </c:marker>
          <c:cat>
            <c:strRef>
              <c:f>ets_test_and_training_chart!$A$11:$A$192</c:f>
              <c:strCache>
                <c:ptCount val="182"/>
                <c:pt idx="0">
                  <c:v>2022-01-09</c:v>
                </c:pt>
                <c:pt idx="1">
                  <c:v>2022-01-16</c:v>
                </c:pt>
                <c:pt idx="2">
                  <c:v>2022-01-23</c:v>
                </c:pt>
                <c:pt idx="3">
                  <c:v>2022-01-30</c:v>
                </c:pt>
                <c:pt idx="4">
                  <c:v>2022-02-06</c:v>
                </c:pt>
                <c:pt idx="5">
                  <c:v>2022-02-13</c:v>
                </c:pt>
                <c:pt idx="6">
                  <c:v>2022-02-20</c:v>
                </c:pt>
                <c:pt idx="7">
                  <c:v>2022-02-27</c:v>
                </c:pt>
                <c:pt idx="8">
                  <c:v>2022-03-06</c:v>
                </c:pt>
                <c:pt idx="9">
                  <c:v>2022-03-13</c:v>
                </c:pt>
                <c:pt idx="10">
                  <c:v>2022-03-20</c:v>
                </c:pt>
                <c:pt idx="11">
                  <c:v>2022-03-27</c:v>
                </c:pt>
                <c:pt idx="12">
                  <c:v>2022-04-03</c:v>
                </c:pt>
                <c:pt idx="13">
                  <c:v>2022-04-10</c:v>
                </c:pt>
                <c:pt idx="14">
                  <c:v>2022-04-17</c:v>
                </c:pt>
                <c:pt idx="15">
                  <c:v>2022-04-24</c:v>
                </c:pt>
                <c:pt idx="16">
                  <c:v>2022-05-01</c:v>
                </c:pt>
                <c:pt idx="17">
                  <c:v>2022-05-08</c:v>
                </c:pt>
                <c:pt idx="18">
                  <c:v>2022-05-15</c:v>
                </c:pt>
                <c:pt idx="19">
                  <c:v>2022-05-22</c:v>
                </c:pt>
                <c:pt idx="20">
                  <c:v>2022-05-29</c:v>
                </c:pt>
                <c:pt idx="21">
                  <c:v>2022-06-05</c:v>
                </c:pt>
                <c:pt idx="22">
                  <c:v>2022-06-12</c:v>
                </c:pt>
                <c:pt idx="23">
                  <c:v>2022-06-19</c:v>
                </c:pt>
                <c:pt idx="24">
                  <c:v>2022-06-26</c:v>
                </c:pt>
                <c:pt idx="25">
                  <c:v>2022-07-03</c:v>
                </c:pt>
                <c:pt idx="26">
                  <c:v>2022-07-10</c:v>
                </c:pt>
                <c:pt idx="27">
                  <c:v>2022-07-17</c:v>
                </c:pt>
                <c:pt idx="28">
                  <c:v>2022-07-24</c:v>
                </c:pt>
                <c:pt idx="29">
                  <c:v>2022-07-31</c:v>
                </c:pt>
                <c:pt idx="30">
                  <c:v>2022-08-07</c:v>
                </c:pt>
                <c:pt idx="31">
                  <c:v>2022-08-14</c:v>
                </c:pt>
                <c:pt idx="32">
                  <c:v>2022-08-21</c:v>
                </c:pt>
                <c:pt idx="33">
                  <c:v>2022-08-28</c:v>
                </c:pt>
                <c:pt idx="34">
                  <c:v>2022-09-04</c:v>
                </c:pt>
                <c:pt idx="35">
                  <c:v>2022-09-11</c:v>
                </c:pt>
                <c:pt idx="36">
                  <c:v>2022-09-18</c:v>
                </c:pt>
                <c:pt idx="37">
                  <c:v>2022-09-25</c:v>
                </c:pt>
                <c:pt idx="38">
                  <c:v>2022-10-02</c:v>
                </c:pt>
                <c:pt idx="39">
                  <c:v>2022-10-09</c:v>
                </c:pt>
                <c:pt idx="40">
                  <c:v>2022-10-16</c:v>
                </c:pt>
                <c:pt idx="41">
                  <c:v>2022-10-23</c:v>
                </c:pt>
                <c:pt idx="42">
                  <c:v>2022-10-30</c:v>
                </c:pt>
                <c:pt idx="43">
                  <c:v>2022-11-06</c:v>
                </c:pt>
                <c:pt idx="44">
                  <c:v>2022-11-13</c:v>
                </c:pt>
                <c:pt idx="45">
                  <c:v>2022-11-20</c:v>
                </c:pt>
                <c:pt idx="46">
                  <c:v>2022-11-27</c:v>
                </c:pt>
                <c:pt idx="47">
                  <c:v>2022-12-04</c:v>
                </c:pt>
                <c:pt idx="48">
                  <c:v>2022-12-11</c:v>
                </c:pt>
                <c:pt idx="49">
                  <c:v>2022-12-18</c:v>
                </c:pt>
                <c:pt idx="50">
                  <c:v>2022-12-25</c:v>
                </c:pt>
                <c:pt idx="51">
                  <c:v>2023-01-01</c:v>
                </c:pt>
                <c:pt idx="52">
                  <c:v>2023-01-08</c:v>
                </c:pt>
                <c:pt idx="53">
                  <c:v>2023-01-15</c:v>
                </c:pt>
                <c:pt idx="54">
                  <c:v>2023-01-22</c:v>
                </c:pt>
                <c:pt idx="55">
                  <c:v>2023-01-29</c:v>
                </c:pt>
                <c:pt idx="56">
                  <c:v>2023-02-05</c:v>
                </c:pt>
                <c:pt idx="57">
                  <c:v>2023-02-12</c:v>
                </c:pt>
                <c:pt idx="58">
                  <c:v>2023-02-19</c:v>
                </c:pt>
                <c:pt idx="59">
                  <c:v>2023-02-26</c:v>
                </c:pt>
                <c:pt idx="60">
                  <c:v>2023-03-05</c:v>
                </c:pt>
                <c:pt idx="61">
                  <c:v>2023-03-12</c:v>
                </c:pt>
                <c:pt idx="62">
                  <c:v>2023-03-19</c:v>
                </c:pt>
                <c:pt idx="63">
                  <c:v>2023-03-26</c:v>
                </c:pt>
                <c:pt idx="64">
                  <c:v>2023-04-02</c:v>
                </c:pt>
                <c:pt idx="65">
                  <c:v>2023-04-09</c:v>
                </c:pt>
                <c:pt idx="66">
                  <c:v>2023-04-16</c:v>
                </c:pt>
                <c:pt idx="67">
                  <c:v>2023-04-23</c:v>
                </c:pt>
                <c:pt idx="68">
                  <c:v>2023-04-30</c:v>
                </c:pt>
                <c:pt idx="69">
                  <c:v>2023-05-07</c:v>
                </c:pt>
                <c:pt idx="70">
                  <c:v>2023-05-14</c:v>
                </c:pt>
                <c:pt idx="71">
                  <c:v>2023-05-21</c:v>
                </c:pt>
                <c:pt idx="72">
                  <c:v>2023-05-28</c:v>
                </c:pt>
                <c:pt idx="73">
                  <c:v>2023-06-04</c:v>
                </c:pt>
                <c:pt idx="74">
                  <c:v>2023-06-11</c:v>
                </c:pt>
                <c:pt idx="75">
                  <c:v>2023-06-18</c:v>
                </c:pt>
                <c:pt idx="76">
                  <c:v>2023-06-25</c:v>
                </c:pt>
                <c:pt idx="77">
                  <c:v>2023-07-02</c:v>
                </c:pt>
                <c:pt idx="78">
                  <c:v>2023-07-09</c:v>
                </c:pt>
                <c:pt idx="79">
                  <c:v>2023-07-16</c:v>
                </c:pt>
                <c:pt idx="80">
                  <c:v>2023-07-23</c:v>
                </c:pt>
                <c:pt idx="81">
                  <c:v>2023-07-30</c:v>
                </c:pt>
                <c:pt idx="82">
                  <c:v>2023-08-06</c:v>
                </c:pt>
                <c:pt idx="83">
                  <c:v>2023-08-13</c:v>
                </c:pt>
                <c:pt idx="84">
                  <c:v>2023-08-20</c:v>
                </c:pt>
                <c:pt idx="85">
                  <c:v>2023-08-27</c:v>
                </c:pt>
                <c:pt idx="86">
                  <c:v>2023-09-03</c:v>
                </c:pt>
                <c:pt idx="87">
                  <c:v>2023-09-10</c:v>
                </c:pt>
                <c:pt idx="88">
                  <c:v>2023-09-17</c:v>
                </c:pt>
                <c:pt idx="89">
                  <c:v>2023-09-24</c:v>
                </c:pt>
                <c:pt idx="90">
                  <c:v>2023-10-01</c:v>
                </c:pt>
                <c:pt idx="91">
                  <c:v>2023-10-08</c:v>
                </c:pt>
                <c:pt idx="92">
                  <c:v>2023-10-15</c:v>
                </c:pt>
                <c:pt idx="93">
                  <c:v>2023-10-22</c:v>
                </c:pt>
                <c:pt idx="94">
                  <c:v>2023-10-29</c:v>
                </c:pt>
                <c:pt idx="95">
                  <c:v>2023-11-05</c:v>
                </c:pt>
                <c:pt idx="96">
                  <c:v>2023-11-12</c:v>
                </c:pt>
                <c:pt idx="97">
                  <c:v>2023-11-19</c:v>
                </c:pt>
                <c:pt idx="98">
                  <c:v>2023-11-26</c:v>
                </c:pt>
                <c:pt idx="99">
                  <c:v>2023-12-03</c:v>
                </c:pt>
                <c:pt idx="100">
                  <c:v>2023-12-10</c:v>
                </c:pt>
                <c:pt idx="101">
                  <c:v>2023-12-17</c:v>
                </c:pt>
                <c:pt idx="102">
                  <c:v>2023-12-24</c:v>
                </c:pt>
                <c:pt idx="103">
                  <c:v>2023-12-31</c:v>
                </c:pt>
                <c:pt idx="104">
                  <c:v>2024-01-07</c:v>
                </c:pt>
                <c:pt idx="105">
                  <c:v>2024-01-14</c:v>
                </c:pt>
                <c:pt idx="106">
                  <c:v>2024-01-21</c:v>
                </c:pt>
                <c:pt idx="107">
                  <c:v>2024-01-28</c:v>
                </c:pt>
                <c:pt idx="108">
                  <c:v>2024-02-04</c:v>
                </c:pt>
                <c:pt idx="109">
                  <c:v>2024-02-11</c:v>
                </c:pt>
                <c:pt idx="110">
                  <c:v>2024-02-18</c:v>
                </c:pt>
                <c:pt idx="111">
                  <c:v>2024-02-25</c:v>
                </c:pt>
                <c:pt idx="112">
                  <c:v>2024-03-03</c:v>
                </c:pt>
                <c:pt idx="113">
                  <c:v>2024-03-10</c:v>
                </c:pt>
                <c:pt idx="114">
                  <c:v>2024-03-17</c:v>
                </c:pt>
                <c:pt idx="115">
                  <c:v>2024-03-24</c:v>
                </c:pt>
                <c:pt idx="116">
                  <c:v>2024-03-31</c:v>
                </c:pt>
                <c:pt idx="117">
                  <c:v>2024-04-07</c:v>
                </c:pt>
                <c:pt idx="118">
                  <c:v>2024-04-14</c:v>
                </c:pt>
                <c:pt idx="119">
                  <c:v>2024-04-21</c:v>
                </c:pt>
                <c:pt idx="120">
                  <c:v>2024-04-28</c:v>
                </c:pt>
                <c:pt idx="121">
                  <c:v>2024-05-05</c:v>
                </c:pt>
                <c:pt idx="122">
                  <c:v>2024-05-12</c:v>
                </c:pt>
                <c:pt idx="123">
                  <c:v>2024-05-19</c:v>
                </c:pt>
                <c:pt idx="124">
                  <c:v>2024-05-26</c:v>
                </c:pt>
                <c:pt idx="125">
                  <c:v>2024-06-02</c:v>
                </c:pt>
                <c:pt idx="126">
                  <c:v>2024-06-09</c:v>
                </c:pt>
                <c:pt idx="127">
                  <c:v>2024-06-16</c:v>
                </c:pt>
                <c:pt idx="128">
                  <c:v>2024-06-23</c:v>
                </c:pt>
                <c:pt idx="129">
                  <c:v>2024-06-30</c:v>
                </c:pt>
                <c:pt idx="130">
                  <c:v>2024-07-07</c:v>
                </c:pt>
                <c:pt idx="131">
                  <c:v>2024-07-14</c:v>
                </c:pt>
                <c:pt idx="132">
                  <c:v>2024-07-21</c:v>
                </c:pt>
                <c:pt idx="133">
                  <c:v>2024-07-28</c:v>
                </c:pt>
                <c:pt idx="134">
                  <c:v>2024-08-04</c:v>
                </c:pt>
                <c:pt idx="135">
                  <c:v>2024-08-11</c:v>
                </c:pt>
                <c:pt idx="136">
                  <c:v>2024-08-18</c:v>
                </c:pt>
                <c:pt idx="137">
                  <c:v>2024-08-25</c:v>
                </c:pt>
                <c:pt idx="138">
                  <c:v>2024-09-01</c:v>
                </c:pt>
                <c:pt idx="139">
                  <c:v>2024-09-08</c:v>
                </c:pt>
                <c:pt idx="140">
                  <c:v>2024-09-15</c:v>
                </c:pt>
                <c:pt idx="141">
                  <c:v>2024-09-22</c:v>
                </c:pt>
                <c:pt idx="142">
                  <c:v>2024-09-29</c:v>
                </c:pt>
                <c:pt idx="143">
                  <c:v>2024-10-06</c:v>
                </c:pt>
                <c:pt idx="144">
                  <c:v>2024-10-13</c:v>
                </c:pt>
                <c:pt idx="145">
                  <c:v>2024-10-20</c:v>
                </c:pt>
                <c:pt idx="146">
                  <c:v>2024-10-27</c:v>
                </c:pt>
                <c:pt idx="147">
                  <c:v>2024-11-03</c:v>
                </c:pt>
                <c:pt idx="148">
                  <c:v>2024-11-10</c:v>
                </c:pt>
                <c:pt idx="149">
                  <c:v>2024-11-17</c:v>
                </c:pt>
                <c:pt idx="150">
                  <c:v>2024-11-24</c:v>
                </c:pt>
                <c:pt idx="151">
                  <c:v>2024-12-01</c:v>
                </c:pt>
                <c:pt idx="152">
                  <c:v>2024-12-08</c:v>
                </c:pt>
                <c:pt idx="153">
                  <c:v>2024-12-15</c:v>
                </c:pt>
                <c:pt idx="154">
                  <c:v>2024-12-22</c:v>
                </c:pt>
                <c:pt idx="155">
                  <c:v>2024-12-29</c:v>
                </c:pt>
                <c:pt idx="156">
                  <c:v>2025-01-05</c:v>
                </c:pt>
                <c:pt idx="157">
                  <c:v>2025-01-12</c:v>
                </c:pt>
                <c:pt idx="158">
                  <c:v>2025-01-19</c:v>
                </c:pt>
                <c:pt idx="159">
                  <c:v>2025-01-26</c:v>
                </c:pt>
                <c:pt idx="160">
                  <c:v>2025-02-02</c:v>
                </c:pt>
                <c:pt idx="161">
                  <c:v>2025-02-09</c:v>
                </c:pt>
                <c:pt idx="162">
                  <c:v>2025-02-16</c:v>
                </c:pt>
                <c:pt idx="163">
                  <c:v>2025-02-23</c:v>
                </c:pt>
                <c:pt idx="164">
                  <c:v>2025-03-02</c:v>
                </c:pt>
                <c:pt idx="165">
                  <c:v>2025-03-09</c:v>
                </c:pt>
                <c:pt idx="166">
                  <c:v>2025-03-16</c:v>
                </c:pt>
                <c:pt idx="167">
                  <c:v>2025-03-23</c:v>
                </c:pt>
                <c:pt idx="168">
                  <c:v>2025-03-30</c:v>
                </c:pt>
                <c:pt idx="169">
                  <c:v>2025-04-06</c:v>
                </c:pt>
                <c:pt idx="170">
                  <c:v>2025-04-13</c:v>
                </c:pt>
                <c:pt idx="171">
                  <c:v>2025-04-20</c:v>
                </c:pt>
                <c:pt idx="172">
                  <c:v>2025-04-27</c:v>
                </c:pt>
                <c:pt idx="173">
                  <c:v>2025-05-04</c:v>
                </c:pt>
                <c:pt idx="174">
                  <c:v>2025-05-11</c:v>
                </c:pt>
                <c:pt idx="175">
                  <c:v>2025-05-18</c:v>
                </c:pt>
                <c:pt idx="176">
                  <c:v>2025-05-25</c:v>
                </c:pt>
                <c:pt idx="177">
                  <c:v>2025-06-01</c:v>
                </c:pt>
                <c:pt idx="178">
                  <c:v>2025-06-08</c:v>
                </c:pt>
                <c:pt idx="179">
                  <c:v>2025-06-15</c:v>
                </c:pt>
                <c:pt idx="180">
                  <c:v>2025-06-22</c:v>
                </c:pt>
                <c:pt idx="181">
                  <c:v>2025-06-29</c:v>
                </c:pt>
              </c:strCache>
            </c:strRef>
          </c:cat>
          <c:val>
            <c:numRef>
              <c:f>ets_test_and_training_chart!$C$11:$C$192</c:f>
              <c:numCache>
                <c:formatCode>General</c:formatCode>
                <c:ptCount val="182"/>
                <c:pt idx="156">
                  <c:v>100.56998699670685</c:v>
                </c:pt>
                <c:pt idx="157">
                  <c:v>63.271371398406423</c:v>
                </c:pt>
                <c:pt idx="158">
                  <c:v>228.77510384410752</c:v>
                </c:pt>
                <c:pt idx="159">
                  <c:v>121.19221914747791</c:v>
                </c:pt>
                <c:pt idx="160">
                  <c:v>1.5743470324030682</c:v>
                </c:pt>
                <c:pt idx="161">
                  <c:v>203.66093926450941</c:v>
                </c:pt>
                <c:pt idx="162">
                  <c:v>128.68419077192397</c:v>
                </c:pt>
                <c:pt idx="163">
                  <c:v>161.73518487670859</c:v>
                </c:pt>
                <c:pt idx="164">
                  <c:v>160.82615554265871</c:v>
                </c:pt>
                <c:pt idx="165">
                  <c:v>138.47636898049785</c:v>
                </c:pt>
                <c:pt idx="166">
                  <c:v>152.27207993759663</c:v>
                </c:pt>
                <c:pt idx="167">
                  <c:v>137.33014786320715</c:v>
                </c:pt>
                <c:pt idx="168">
                  <c:v>56.309114857608265</c:v>
                </c:pt>
                <c:pt idx="169">
                  <c:v>147.43391627659702</c:v>
                </c:pt>
                <c:pt idx="170">
                  <c:v>199.73229943405818</c:v>
                </c:pt>
                <c:pt idx="171">
                  <c:v>121.91668154250699</c:v>
                </c:pt>
                <c:pt idx="172">
                  <c:v>184.93383714804719</c:v>
                </c:pt>
                <c:pt idx="173">
                  <c:v>167.52268897742539</c:v>
                </c:pt>
                <c:pt idx="174">
                  <c:v>253.54069458268509</c:v>
                </c:pt>
                <c:pt idx="175">
                  <c:v>124.92264520705429</c:v>
                </c:pt>
                <c:pt idx="176">
                  <c:v>131.80339689081902</c:v>
                </c:pt>
                <c:pt idx="177">
                  <c:v>136.2826869864561</c:v>
                </c:pt>
                <c:pt idx="178">
                  <c:v>139.28592952046685</c:v>
                </c:pt>
                <c:pt idx="179">
                  <c:v>16.820500064940859</c:v>
                </c:pt>
                <c:pt idx="180">
                  <c:v>103.07074599538623</c:v>
                </c:pt>
                <c:pt idx="181">
                  <c:v>178.49291026738157</c:v>
                </c:pt>
              </c:numCache>
            </c:numRef>
          </c:val>
          <c:smooth val="0"/>
          <c:extLst>
            <c:ext xmlns:c16="http://schemas.microsoft.com/office/drawing/2014/chart" uri="{C3380CC4-5D6E-409C-BE32-E72D297353CC}">
              <c16:uniqueId val="{00000001-C9BB-4B79-B32B-75FBFC190D2D}"/>
            </c:ext>
          </c:extLst>
        </c:ser>
        <c:ser>
          <c:idx val="2"/>
          <c:order val="2"/>
          <c:tx>
            <c:strRef>
              <c:f>ets_test_and_training_chart!$D$9:$D$10</c:f>
              <c:strCache>
                <c:ptCount val="1"/>
                <c:pt idx="0">
                  <c:v>Sum of excel_ets</c:v>
                </c:pt>
              </c:strCache>
            </c:strRef>
          </c:tx>
          <c:spPr>
            <a:ln w="28575" cap="rnd">
              <a:solidFill>
                <a:schemeClr val="accent2"/>
              </a:solidFill>
              <a:round/>
            </a:ln>
            <a:effectLst/>
          </c:spPr>
          <c:marker>
            <c:symbol val="none"/>
          </c:marker>
          <c:cat>
            <c:strRef>
              <c:f>ets_test_and_training_chart!$A$11:$A$192</c:f>
              <c:strCache>
                <c:ptCount val="182"/>
                <c:pt idx="0">
                  <c:v>2022-01-09</c:v>
                </c:pt>
                <c:pt idx="1">
                  <c:v>2022-01-16</c:v>
                </c:pt>
                <c:pt idx="2">
                  <c:v>2022-01-23</c:v>
                </c:pt>
                <c:pt idx="3">
                  <c:v>2022-01-30</c:v>
                </c:pt>
                <c:pt idx="4">
                  <c:v>2022-02-06</c:v>
                </c:pt>
                <c:pt idx="5">
                  <c:v>2022-02-13</c:v>
                </c:pt>
                <c:pt idx="6">
                  <c:v>2022-02-20</c:v>
                </c:pt>
                <c:pt idx="7">
                  <c:v>2022-02-27</c:v>
                </c:pt>
                <c:pt idx="8">
                  <c:v>2022-03-06</c:v>
                </c:pt>
                <c:pt idx="9">
                  <c:v>2022-03-13</c:v>
                </c:pt>
                <c:pt idx="10">
                  <c:v>2022-03-20</c:v>
                </c:pt>
                <c:pt idx="11">
                  <c:v>2022-03-27</c:v>
                </c:pt>
                <c:pt idx="12">
                  <c:v>2022-04-03</c:v>
                </c:pt>
                <c:pt idx="13">
                  <c:v>2022-04-10</c:v>
                </c:pt>
                <c:pt idx="14">
                  <c:v>2022-04-17</c:v>
                </c:pt>
                <c:pt idx="15">
                  <c:v>2022-04-24</c:v>
                </c:pt>
                <c:pt idx="16">
                  <c:v>2022-05-01</c:v>
                </c:pt>
                <c:pt idx="17">
                  <c:v>2022-05-08</c:v>
                </c:pt>
                <c:pt idx="18">
                  <c:v>2022-05-15</c:v>
                </c:pt>
                <c:pt idx="19">
                  <c:v>2022-05-22</c:v>
                </c:pt>
                <c:pt idx="20">
                  <c:v>2022-05-29</c:v>
                </c:pt>
                <c:pt idx="21">
                  <c:v>2022-06-05</c:v>
                </c:pt>
                <c:pt idx="22">
                  <c:v>2022-06-12</c:v>
                </c:pt>
                <c:pt idx="23">
                  <c:v>2022-06-19</c:v>
                </c:pt>
                <c:pt idx="24">
                  <c:v>2022-06-26</c:v>
                </c:pt>
                <c:pt idx="25">
                  <c:v>2022-07-03</c:v>
                </c:pt>
                <c:pt idx="26">
                  <c:v>2022-07-10</c:v>
                </c:pt>
                <c:pt idx="27">
                  <c:v>2022-07-17</c:v>
                </c:pt>
                <c:pt idx="28">
                  <c:v>2022-07-24</c:v>
                </c:pt>
                <c:pt idx="29">
                  <c:v>2022-07-31</c:v>
                </c:pt>
                <c:pt idx="30">
                  <c:v>2022-08-07</c:v>
                </c:pt>
                <c:pt idx="31">
                  <c:v>2022-08-14</c:v>
                </c:pt>
                <c:pt idx="32">
                  <c:v>2022-08-21</c:v>
                </c:pt>
                <c:pt idx="33">
                  <c:v>2022-08-28</c:v>
                </c:pt>
                <c:pt idx="34">
                  <c:v>2022-09-04</c:v>
                </c:pt>
                <c:pt idx="35">
                  <c:v>2022-09-11</c:v>
                </c:pt>
                <c:pt idx="36">
                  <c:v>2022-09-18</c:v>
                </c:pt>
                <c:pt idx="37">
                  <c:v>2022-09-25</c:v>
                </c:pt>
                <c:pt idx="38">
                  <c:v>2022-10-02</c:v>
                </c:pt>
                <c:pt idx="39">
                  <c:v>2022-10-09</c:v>
                </c:pt>
                <c:pt idx="40">
                  <c:v>2022-10-16</c:v>
                </c:pt>
                <c:pt idx="41">
                  <c:v>2022-10-23</c:v>
                </c:pt>
                <c:pt idx="42">
                  <c:v>2022-10-30</c:v>
                </c:pt>
                <c:pt idx="43">
                  <c:v>2022-11-06</c:v>
                </c:pt>
                <c:pt idx="44">
                  <c:v>2022-11-13</c:v>
                </c:pt>
                <c:pt idx="45">
                  <c:v>2022-11-20</c:v>
                </c:pt>
                <c:pt idx="46">
                  <c:v>2022-11-27</c:v>
                </c:pt>
                <c:pt idx="47">
                  <c:v>2022-12-04</c:v>
                </c:pt>
                <c:pt idx="48">
                  <c:v>2022-12-11</c:v>
                </c:pt>
                <c:pt idx="49">
                  <c:v>2022-12-18</c:v>
                </c:pt>
                <c:pt idx="50">
                  <c:v>2022-12-25</c:v>
                </c:pt>
                <c:pt idx="51">
                  <c:v>2023-01-01</c:v>
                </c:pt>
                <c:pt idx="52">
                  <c:v>2023-01-08</c:v>
                </c:pt>
                <c:pt idx="53">
                  <c:v>2023-01-15</c:v>
                </c:pt>
                <c:pt idx="54">
                  <c:v>2023-01-22</c:v>
                </c:pt>
                <c:pt idx="55">
                  <c:v>2023-01-29</c:v>
                </c:pt>
                <c:pt idx="56">
                  <c:v>2023-02-05</c:v>
                </c:pt>
                <c:pt idx="57">
                  <c:v>2023-02-12</c:v>
                </c:pt>
                <c:pt idx="58">
                  <c:v>2023-02-19</c:v>
                </c:pt>
                <c:pt idx="59">
                  <c:v>2023-02-26</c:v>
                </c:pt>
                <c:pt idx="60">
                  <c:v>2023-03-05</c:v>
                </c:pt>
                <c:pt idx="61">
                  <c:v>2023-03-12</c:v>
                </c:pt>
                <c:pt idx="62">
                  <c:v>2023-03-19</c:v>
                </c:pt>
                <c:pt idx="63">
                  <c:v>2023-03-26</c:v>
                </c:pt>
                <c:pt idx="64">
                  <c:v>2023-04-02</c:v>
                </c:pt>
                <c:pt idx="65">
                  <c:v>2023-04-09</c:v>
                </c:pt>
                <c:pt idx="66">
                  <c:v>2023-04-16</c:v>
                </c:pt>
                <c:pt idx="67">
                  <c:v>2023-04-23</c:v>
                </c:pt>
                <c:pt idx="68">
                  <c:v>2023-04-30</c:v>
                </c:pt>
                <c:pt idx="69">
                  <c:v>2023-05-07</c:v>
                </c:pt>
                <c:pt idx="70">
                  <c:v>2023-05-14</c:v>
                </c:pt>
                <c:pt idx="71">
                  <c:v>2023-05-21</c:v>
                </c:pt>
                <c:pt idx="72">
                  <c:v>2023-05-28</c:v>
                </c:pt>
                <c:pt idx="73">
                  <c:v>2023-06-04</c:v>
                </c:pt>
                <c:pt idx="74">
                  <c:v>2023-06-11</c:v>
                </c:pt>
                <c:pt idx="75">
                  <c:v>2023-06-18</c:v>
                </c:pt>
                <c:pt idx="76">
                  <c:v>2023-06-25</c:v>
                </c:pt>
                <c:pt idx="77">
                  <c:v>2023-07-02</c:v>
                </c:pt>
                <c:pt idx="78">
                  <c:v>2023-07-09</c:v>
                </c:pt>
                <c:pt idx="79">
                  <c:v>2023-07-16</c:v>
                </c:pt>
                <c:pt idx="80">
                  <c:v>2023-07-23</c:v>
                </c:pt>
                <c:pt idx="81">
                  <c:v>2023-07-30</c:v>
                </c:pt>
                <c:pt idx="82">
                  <c:v>2023-08-06</c:v>
                </c:pt>
                <c:pt idx="83">
                  <c:v>2023-08-13</c:v>
                </c:pt>
                <c:pt idx="84">
                  <c:v>2023-08-20</c:v>
                </c:pt>
                <c:pt idx="85">
                  <c:v>2023-08-27</c:v>
                </c:pt>
                <c:pt idx="86">
                  <c:v>2023-09-03</c:v>
                </c:pt>
                <c:pt idx="87">
                  <c:v>2023-09-10</c:v>
                </c:pt>
                <c:pt idx="88">
                  <c:v>2023-09-17</c:v>
                </c:pt>
                <c:pt idx="89">
                  <c:v>2023-09-24</c:v>
                </c:pt>
                <c:pt idx="90">
                  <c:v>2023-10-01</c:v>
                </c:pt>
                <c:pt idx="91">
                  <c:v>2023-10-08</c:v>
                </c:pt>
                <c:pt idx="92">
                  <c:v>2023-10-15</c:v>
                </c:pt>
                <c:pt idx="93">
                  <c:v>2023-10-22</c:v>
                </c:pt>
                <c:pt idx="94">
                  <c:v>2023-10-29</c:v>
                </c:pt>
                <c:pt idx="95">
                  <c:v>2023-11-05</c:v>
                </c:pt>
                <c:pt idx="96">
                  <c:v>2023-11-12</c:v>
                </c:pt>
                <c:pt idx="97">
                  <c:v>2023-11-19</c:v>
                </c:pt>
                <c:pt idx="98">
                  <c:v>2023-11-26</c:v>
                </c:pt>
                <c:pt idx="99">
                  <c:v>2023-12-03</c:v>
                </c:pt>
                <c:pt idx="100">
                  <c:v>2023-12-10</c:v>
                </c:pt>
                <c:pt idx="101">
                  <c:v>2023-12-17</c:v>
                </c:pt>
                <c:pt idx="102">
                  <c:v>2023-12-24</c:v>
                </c:pt>
                <c:pt idx="103">
                  <c:v>2023-12-31</c:v>
                </c:pt>
                <c:pt idx="104">
                  <c:v>2024-01-07</c:v>
                </c:pt>
                <c:pt idx="105">
                  <c:v>2024-01-14</c:v>
                </c:pt>
                <c:pt idx="106">
                  <c:v>2024-01-21</c:v>
                </c:pt>
                <c:pt idx="107">
                  <c:v>2024-01-28</c:v>
                </c:pt>
                <c:pt idx="108">
                  <c:v>2024-02-04</c:v>
                </c:pt>
                <c:pt idx="109">
                  <c:v>2024-02-11</c:v>
                </c:pt>
                <c:pt idx="110">
                  <c:v>2024-02-18</c:v>
                </c:pt>
                <c:pt idx="111">
                  <c:v>2024-02-25</c:v>
                </c:pt>
                <c:pt idx="112">
                  <c:v>2024-03-03</c:v>
                </c:pt>
                <c:pt idx="113">
                  <c:v>2024-03-10</c:v>
                </c:pt>
                <c:pt idx="114">
                  <c:v>2024-03-17</c:v>
                </c:pt>
                <c:pt idx="115">
                  <c:v>2024-03-24</c:v>
                </c:pt>
                <c:pt idx="116">
                  <c:v>2024-03-31</c:v>
                </c:pt>
                <c:pt idx="117">
                  <c:v>2024-04-07</c:v>
                </c:pt>
                <c:pt idx="118">
                  <c:v>2024-04-14</c:v>
                </c:pt>
                <c:pt idx="119">
                  <c:v>2024-04-21</c:v>
                </c:pt>
                <c:pt idx="120">
                  <c:v>2024-04-28</c:v>
                </c:pt>
                <c:pt idx="121">
                  <c:v>2024-05-05</c:v>
                </c:pt>
                <c:pt idx="122">
                  <c:v>2024-05-12</c:v>
                </c:pt>
                <c:pt idx="123">
                  <c:v>2024-05-19</c:v>
                </c:pt>
                <c:pt idx="124">
                  <c:v>2024-05-26</c:v>
                </c:pt>
                <c:pt idx="125">
                  <c:v>2024-06-02</c:v>
                </c:pt>
                <c:pt idx="126">
                  <c:v>2024-06-09</c:v>
                </c:pt>
                <c:pt idx="127">
                  <c:v>2024-06-16</c:v>
                </c:pt>
                <c:pt idx="128">
                  <c:v>2024-06-23</c:v>
                </c:pt>
                <c:pt idx="129">
                  <c:v>2024-06-30</c:v>
                </c:pt>
                <c:pt idx="130">
                  <c:v>2024-07-07</c:v>
                </c:pt>
                <c:pt idx="131">
                  <c:v>2024-07-14</c:v>
                </c:pt>
                <c:pt idx="132">
                  <c:v>2024-07-21</c:v>
                </c:pt>
                <c:pt idx="133">
                  <c:v>2024-07-28</c:v>
                </c:pt>
                <c:pt idx="134">
                  <c:v>2024-08-04</c:v>
                </c:pt>
                <c:pt idx="135">
                  <c:v>2024-08-11</c:v>
                </c:pt>
                <c:pt idx="136">
                  <c:v>2024-08-18</c:v>
                </c:pt>
                <c:pt idx="137">
                  <c:v>2024-08-25</c:v>
                </c:pt>
                <c:pt idx="138">
                  <c:v>2024-09-01</c:v>
                </c:pt>
                <c:pt idx="139">
                  <c:v>2024-09-08</c:v>
                </c:pt>
                <c:pt idx="140">
                  <c:v>2024-09-15</c:v>
                </c:pt>
                <c:pt idx="141">
                  <c:v>2024-09-22</c:v>
                </c:pt>
                <c:pt idx="142">
                  <c:v>2024-09-29</c:v>
                </c:pt>
                <c:pt idx="143">
                  <c:v>2024-10-06</c:v>
                </c:pt>
                <c:pt idx="144">
                  <c:v>2024-10-13</c:v>
                </c:pt>
                <c:pt idx="145">
                  <c:v>2024-10-20</c:v>
                </c:pt>
                <c:pt idx="146">
                  <c:v>2024-10-27</c:v>
                </c:pt>
                <c:pt idx="147">
                  <c:v>2024-11-03</c:v>
                </c:pt>
                <c:pt idx="148">
                  <c:v>2024-11-10</c:v>
                </c:pt>
                <c:pt idx="149">
                  <c:v>2024-11-17</c:v>
                </c:pt>
                <c:pt idx="150">
                  <c:v>2024-11-24</c:v>
                </c:pt>
                <c:pt idx="151">
                  <c:v>2024-12-01</c:v>
                </c:pt>
                <c:pt idx="152">
                  <c:v>2024-12-08</c:v>
                </c:pt>
                <c:pt idx="153">
                  <c:v>2024-12-15</c:v>
                </c:pt>
                <c:pt idx="154">
                  <c:v>2024-12-22</c:v>
                </c:pt>
                <c:pt idx="155">
                  <c:v>2024-12-29</c:v>
                </c:pt>
                <c:pt idx="156">
                  <c:v>2025-01-05</c:v>
                </c:pt>
                <c:pt idx="157">
                  <c:v>2025-01-12</c:v>
                </c:pt>
                <c:pt idx="158">
                  <c:v>2025-01-19</c:v>
                </c:pt>
                <c:pt idx="159">
                  <c:v>2025-01-26</c:v>
                </c:pt>
                <c:pt idx="160">
                  <c:v>2025-02-02</c:v>
                </c:pt>
                <c:pt idx="161">
                  <c:v>2025-02-09</c:v>
                </c:pt>
                <c:pt idx="162">
                  <c:v>2025-02-16</c:v>
                </c:pt>
                <c:pt idx="163">
                  <c:v>2025-02-23</c:v>
                </c:pt>
                <c:pt idx="164">
                  <c:v>2025-03-02</c:v>
                </c:pt>
                <c:pt idx="165">
                  <c:v>2025-03-09</c:v>
                </c:pt>
                <c:pt idx="166">
                  <c:v>2025-03-16</c:v>
                </c:pt>
                <c:pt idx="167">
                  <c:v>2025-03-23</c:v>
                </c:pt>
                <c:pt idx="168">
                  <c:v>2025-03-30</c:v>
                </c:pt>
                <c:pt idx="169">
                  <c:v>2025-04-06</c:v>
                </c:pt>
                <c:pt idx="170">
                  <c:v>2025-04-13</c:v>
                </c:pt>
                <c:pt idx="171">
                  <c:v>2025-04-20</c:v>
                </c:pt>
                <c:pt idx="172">
                  <c:v>2025-04-27</c:v>
                </c:pt>
                <c:pt idx="173">
                  <c:v>2025-05-04</c:v>
                </c:pt>
                <c:pt idx="174">
                  <c:v>2025-05-11</c:v>
                </c:pt>
                <c:pt idx="175">
                  <c:v>2025-05-18</c:v>
                </c:pt>
                <c:pt idx="176">
                  <c:v>2025-05-25</c:v>
                </c:pt>
                <c:pt idx="177">
                  <c:v>2025-06-01</c:v>
                </c:pt>
                <c:pt idx="178">
                  <c:v>2025-06-08</c:v>
                </c:pt>
                <c:pt idx="179">
                  <c:v>2025-06-15</c:v>
                </c:pt>
                <c:pt idx="180">
                  <c:v>2025-06-22</c:v>
                </c:pt>
                <c:pt idx="181">
                  <c:v>2025-06-29</c:v>
                </c:pt>
              </c:strCache>
            </c:strRef>
          </c:cat>
          <c:val>
            <c:numRef>
              <c:f>ets_test_and_training_chart!$D$11:$D$192</c:f>
              <c:numCache>
                <c:formatCode>General</c:formatCode>
                <c:ptCount val="1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104.11024896495712</c:v>
                </c:pt>
                <c:pt idx="157">
                  <c:v>15.351150268197316</c:v>
                </c:pt>
                <c:pt idx="158">
                  <c:v>32.336698528161584</c:v>
                </c:pt>
                <c:pt idx="159">
                  <c:v>180.84351734704947</c:v>
                </c:pt>
                <c:pt idx="160">
                  <c:v>77.456687285594214</c:v>
                </c:pt>
                <c:pt idx="161">
                  <c:v>61.662092380378667</c:v>
                </c:pt>
                <c:pt idx="162">
                  <c:v>75.465328836250862</c:v>
                </c:pt>
                <c:pt idx="163">
                  <c:v>112.58085210067034</c:v>
                </c:pt>
                <c:pt idx="164">
                  <c:v>45.719819516109766</c:v>
                </c:pt>
                <c:pt idx="165">
                  <c:v>121.54802392616413</c:v>
                </c:pt>
                <c:pt idx="166">
                  <c:v>30.696971047990637</c:v>
                </c:pt>
                <c:pt idx="167">
                  <c:v>162.02081242579231</c:v>
                </c:pt>
                <c:pt idx="168">
                  <c:v>46.857959785986097</c:v>
                </c:pt>
                <c:pt idx="169">
                  <c:v>188.76557588923657</c:v>
                </c:pt>
                <c:pt idx="170">
                  <c:v>110.68281099263535</c:v>
                </c:pt>
                <c:pt idx="171">
                  <c:v>70.113072396579781</c:v>
                </c:pt>
                <c:pt idx="172">
                  <c:v>191.47953027954159</c:v>
                </c:pt>
                <c:pt idx="173">
                  <c:v>39.396220610891532</c:v>
                </c:pt>
                <c:pt idx="174">
                  <c:v>98.498339940065918</c:v>
                </c:pt>
                <c:pt idx="175">
                  <c:v>144.50388838627285</c:v>
                </c:pt>
                <c:pt idx="176">
                  <c:v>122.9767844099545</c:v>
                </c:pt>
                <c:pt idx="177">
                  <c:v>4.8040699197675565</c:v>
                </c:pt>
                <c:pt idx="178">
                  <c:v>55.596284816853469</c:v>
                </c:pt>
                <c:pt idx="179">
                  <c:v>146.87886003054552</c:v>
                </c:pt>
                <c:pt idx="180">
                  <c:v>39.312406265872021</c:v>
                </c:pt>
                <c:pt idx="181">
                  <c:v>132.68662602109268</c:v>
                </c:pt>
              </c:numCache>
            </c:numRef>
          </c:val>
          <c:smooth val="0"/>
          <c:extLst>
            <c:ext xmlns:c16="http://schemas.microsoft.com/office/drawing/2014/chart" uri="{C3380CC4-5D6E-409C-BE32-E72D297353CC}">
              <c16:uniqueId val="{00000004-C9BB-4B79-B32B-75FBFC190D2D}"/>
            </c:ext>
          </c:extLst>
        </c:ser>
        <c:ser>
          <c:idx val="3"/>
          <c:order val="3"/>
          <c:tx>
            <c:strRef>
              <c:f>ets_test_and_training_chart!$E$9:$E$10</c:f>
              <c:strCache>
                <c:ptCount val="1"/>
                <c:pt idx="0">
                  <c:v>Sum of statsmodel_forecast</c:v>
                </c:pt>
              </c:strCache>
            </c:strRef>
          </c:tx>
          <c:spPr>
            <a:ln w="28575" cap="rnd">
              <a:solidFill>
                <a:schemeClr val="accent4"/>
              </a:solidFill>
              <a:round/>
            </a:ln>
            <a:effectLst/>
          </c:spPr>
          <c:marker>
            <c:symbol val="none"/>
          </c:marker>
          <c:cat>
            <c:strRef>
              <c:f>ets_test_and_training_chart!$A$11:$A$192</c:f>
              <c:strCache>
                <c:ptCount val="182"/>
                <c:pt idx="0">
                  <c:v>2022-01-09</c:v>
                </c:pt>
                <c:pt idx="1">
                  <c:v>2022-01-16</c:v>
                </c:pt>
                <c:pt idx="2">
                  <c:v>2022-01-23</c:v>
                </c:pt>
                <c:pt idx="3">
                  <c:v>2022-01-30</c:v>
                </c:pt>
                <c:pt idx="4">
                  <c:v>2022-02-06</c:v>
                </c:pt>
                <c:pt idx="5">
                  <c:v>2022-02-13</c:v>
                </c:pt>
                <c:pt idx="6">
                  <c:v>2022-02-20</c:v>
                </c:pt>
                <c:pt idx="7">
                  <c:v>2022-02-27</c:v>
                </c:pt>
                <c:pt idx="8">
                  <c:v>2022-03-06</c:v>
                </c:pt>
                <c:pt idx="9">
                  <c:v>2022-03-13</c:v>
                </c:pt>
                <c:pt idx="10">
                  <c:v>2022-03-20</c:v>
                </c:pt>
                <c:pt idx="11">
                  <c:v>2022-03-27</c:v>
                </c:pt>
                <c:pt idx="12">
                  <c:v>2022-04-03</c:v>
                </c:pt>
                <c:pt idx="13">
                  <c:v>2022-04-10</c:v>
                </c:pt>
                <c:pt idx="14">
                  <c:v>2022-04-17</c:v>
                </c:pt>
                <c:pt idx="15">
                  <c:v>2022-04-24</c:v>
                </c:pt>
                <c:pt idx="16">
                  <c:v>2022-05-01</c:v>
                </c:pt>
                <c:pt idx="17">
                  <c:v>2022-05-08</c:v>
                </c:pt>
                <c:pt idx="18">
                  <c:v>2022-05-15</c:v>
                </c:pt>
                <c:pt idx="19">
                  <c:v>2022-05-22</c:v>
                </c:pt>
                <c:pt idx="20">
                  <c:v>2022-05-29</c:v>
                </c:pt>
                <c:pt idx="21">
                  <c:v>2022-06-05</c:v>
                </c:pt>
                <c:pt idx="22">
                  <c:v>2022-06-12</c:v>
                </c:pt>
                <c:pt idx="23">
                  <c:v>2022-06-19</c:v>
                </c:pt>
                <c:pt idx="24">
                  <c:v>2022-06-26</c:v>
                </c:pt>
                <c:pt idx="25">
                  <c:v>2022-07-03</c:v>
                </c:pt>
                <c:pt idx="26">
                  <c:v>2022-07-10</c:v>
                </c:pt>
                <c:pt idx="27">
                  <c:v>2022-07-17</c:v>
                </c:pt>
                <c:pt idx="28">
                  <c:v>2022-07-24</c:v>
                </c:pt>
                <c:pt idx="29">
                  <c:v>2022-07-31</c:v>
                </c:pt>
                <c:pt idx="30">
                  <c:v>2022-08-07</c:v>
                </c:pt>
                <c:pt idx="31">
                  <c:v>2022-08-14</c:v>
                </c:pt>
                <c:pt idx="32">
                  <c:v>2022-08-21</c:v>
                </c:pt>
                <c:pt idx="33">
                  <c:v>2022-08-28</c:v>
                </c:pt>
                <c:pt idx="34">
                  <c:v>2022-09-04</c:v>
                </c:pt>
                <c:pt idx="35">
                  <c:v>2022-09-11</c:v>
                </c:pt>
                <c:pt idx="36">
                  <c:v>2022-09-18</c:v>
                </c:pt>
                <c:pt idx="37">
                  <c:v>2022-09-25</c:v>
                </c:pt>
                <c:pt idx="38">
                  <c:v>2022-10-02</c:v>
                </c:pt>
                <c:pt idx="39">
                  <c:v>2022-10-09</c:v>
                </c:pt>
                <c:pt idx="40">
                  <c:v>2022-10-16</c:v>
                </c:pt>
                <c:pt idx="41">
                  <c:v>2022-10-23</c:v>
                </c:pt>
                <c:pt idx="42">
                  <c:v>2022-10-30</c:v>
                </c:pt>
                <c:pt idx="43">
                  <c:v>2022-11-06</c:v>
                </c:pt>
                <c:pt idx="44">
                  <c:v>2022-11-13</c:v>
                </c:pt>
                <c:pt idx="45">
                  <c:v>2022-11-20</c:v>
                </c:pt>
                <c:pt idx="46">
                  <c:v>2022-11-27</c:v>
                </c:pt>
                <c:pt idx="47">
                  <c:v>2022-12-04</c:v>
                </c:pt>
                <c:pt idx="48">
                  <c:v>2022-12-11</c:v>
                </c:pt>
                <c:pt idx="49">
                  <c:v>2022-12-18</c:v>
                </c:pt>
                <c:pt idx="50">
                  <c:v>2022-12-25</c:v>
                </c:pt>
                <c:pt idx="51">
                  <c:v>2023-01-01</c:v>
                </c:pt>
                <c:pt idx="52">
                  <c:v>2023-01-08</c:v>
                </c:pt>
                <c:pt idx="53">
                  <c:v>2023-01-15</c:v>
                </c:pt>
                <c:pt idx="54">
                  <c:v>2023-01-22</c:v>
                </c:pt>
                <c:pt idx="55">
                  <c:v>2023-01-29</c:v>
                </c:pt>
                <c:pt idx="56">
                  <c:v>2023-02-05</c:v>
                </c:pt>
                <c:pt idx="57">
                  <c:v>2023-02-12</c:v>
                </c:pt>
                <c:pt idx="58">
                  <c:v>2023-02-19</c:v>
                </c:pt>
                <c:pt idx="59">
                  <c:v>2023-02-26</c:v>
                </c:pt>
                <c:pt idx="60">
                  <c:v>2023-03-05</c:v>
                </c:pt>
                <c:pt idx="61">
                  <c:v>2023-03-12</c:v>
                </c:pt>
                <c:pt idx="62">
                  <c:v>2023-03-19</c:v>
                </c:pt>
                <c:pt idx="63">
                  <c:v>2023-03-26</c:v>
                </c:pt>
                <c:pt idx="64">
                  <c:v>2023-04-02</c:v>
                </c:pt>
                <c:pt idx="65">
                  <c:v>2023-04-09</c:v>
                </c:pt>
                <c:pt idx="66">
                  <c:v>2023-04-16</c:v>
                </c:pt>
                <c:pt idx="67">
                  <c:v>2023-04-23</c:v>
                </c:pt>
                <c:pt idx="68">
                  <c:v>2023-04-30</c:v>
                </c:pt>
                <c:pt idx="69">
                  <c:v>2023-05-07</c:v>
                </c:pt>
                <c:pt idx="70">
                  <c:v>2023-05-14</c:v>
                </c:pt>
                <c:pt idx="71">
                  <c:v>2023-05-21</c:v>
                </c:pt>
                <c:pt idx="72">
                  <c:v>2023-05-28</c:v>
                </c:pt>
                <c:pt idx="73">
                  <c:v>2023-06-04</c:v>
                </c:pt>
                <c:pt idx="74">
                  <c:v>2023-06-11</c:v>
                </c:pt>
                <c:pt idx="75">
                  <c:v>2023-06-18</c:v>
                </c:pt>
                <c:pt idx="76">
                  <c:v>2023-06-25</c:v>
                </c:pt>
                <c:pt idx="77">
                  <c:v>2023-07-02</c:v>
                </c:pt>
                <c:pt idx="78">
                  <c:v>2023-07-09</c:v>
                </c:pt>
                <c:pt idx="79">
                  <c:v>2023-07-16</c:v>
                </c:pt>
                <c:pt idx="80">
                  <c:v>2023-07-23</c:v>
                </c:pt>
                <c:pt idx="81">
                  <c:v>2023-07-30</c:v>
                </c:pt>
                <c:pt idx="82">
                  <c:v>2023-08-06</c:v>
                </c:pt>
                <c:pt idx="83">
                  <c:v>2023-08-13</c:v>
                </c:pt>
                <c:pt idx="84">
                  <c:v>2023-08-20</c:v>
                </c:pt>
                <c:pt idx="85">
                  <c:v>2023-08-27</c:v>
                </c:pt>
                <c:pt idx="86">
                  <c:v>2023-09-03</c:v>
                </c:pt>
                <c:pt idx="87">
                  <c:v>2023-09-10</c:v>
                </c:pt>
                <c:pt idx="88">
                  <c:v>2023-09-17</c:v>
                </c:pt>
                <c:pt idx="89">
                  <c:v>2023-09-24</c:v>
                </c:pt>
                <c:pt idx="90">
                  <c:v>2023-10-01</c:v>
                </c:pt>
                <c:pt idx="91">
                  <c:v>2023-10-08</c:v>
                </c:pt>
                <c:pt idx="92">
                  <c:v>2023-10-15</c:v>
                </c:pt>
                <c:pt idx="93">
                  <c:v>2023-10-22</c:v>
                </c:pt>
                <c:pt idx="94">
                  <c:v>2023-10-29</c:v>
                </c:pt>
                <c:pt idx="95">
                  <c:v>2023-11-05</c:v>
                </c:pt>
                <c:pt idx="96">
                  <c:v>2023-11-12</c:v>
                </c:pt>
                <c:pt idx="97">
                  <c:v>2023-11-19</c:v>
                </c:pt>
                <c:pt idx="98">
                  <c:v>2023-11-26</c:v>
                </c:pt>
                <c:pt idx="99">
                  <c:v>2023-12-03</c:v>
                </c:pt>
                <c:pt idx="100">
                  <c:v>2023-12-10</c:v>
                </c:pt>
                <c:pt idx="101">
                  <c:v>2023-12-17</c:v>
                </c:pt>
                <c:pt idx="102">
                  <c:v>2023-12-24</c:v>
                </c:pt>
                <c:pt idx="103">
                  <c:v>2023-12-31</c:v>
                </c:pt>
                <c:pt idx="104">
                  <c:v>2024-01-07</c:v>
                </c:pt>
                <c:pt idx="105">
                  <c:v>2024-01-14</c:v>
                </c:pt>
                <c:pt idx="106">
                  <c:v>2024-01-21</c:v>
                </c:pt>
                <c:pt idx="107">
                  <c:v>2024-01-28</c:v>
                </c:pt>
                <c:pt idx="108">
                  <c:v>2024-02-04</c:v>
                </c:pt>
                <c:pt idx="109">
                  <c:v>2024-02-11</c:v>
                </c:pt>
                <c:pt idx="110">
                  <c:v>2024-02-18</c:v>
                </c:pt>
                <c:pt idx="111">
                  <c:v>2024-02-25</c:v>
                </c:pt>
                <c:pt idx="112">
                  <c:v>2024-03-03</c:v>
                </c:pt>
                <c:pt idx="113">
                  <c:v>2024-03-10</c:v>
                </c:pt>
                <c:pt idx="114">
                  <c:v>2024-03-17</c:v>
                </c:pt>
                <c:pt idx="115">
                  <c:v>2024-03-24</c:v>
                </c:pt>
                <c:pt idx="116">
                  <c:v>2024-03-31</c:v>
                </c:pt>
                <c:pt idx="117">
                  <c:v>2024-04-07</c:v>
                </c:pt>
                <c:pt idx="118">
                  <c:v>2024-04-14</c:v>
                </c:pt>
                <c:pt idx="119">
                  <c:v>2024-04-21</c:v>
                </c:pt>
                <c:pt idx="120">
                  <c:v>2024-04-28</c:v>
                </c:pt>
                <c:pt idx="121">
                  <c:v>2024-05-05</c:v>
                </c:pt>
                <c:pt idx="122">
                  <c:v>2024-05-12</c:v>
                </c:pt>
                <c:pt idx="123">
                  <c:v>2024-05-19</c:v>
                </c:pt>
                <c:pt idx="124">
                  <c:v>2024-05-26</c:v>
                </c:pt>
                <c:pt idx="125">
                  <c:v>2024-06-02</c:v>
                </c:pt>
                <c:pt idx="126">
                  <c:v>2024-06-09</c:v>
                </c:pt>
                <c:pt idx="127">
                  <c:v>2024-06-16</c:v>
                </c:pt>
                <c:pt idx="128">
                  <c:v>2024-06-23</c:v>
                </c:pt>
                <c:pt idx="129">
                  <c:v>2024-06-30</c:v>
                </c:pt>
                <c:pt idx="130">
                  <c:v>2024-07-07</c:v>
                </c:pt>
                <c:pt idx="131">
                  <c:v>2024-07-14</c:v>
                </c:pt>
                <c:pt idx="132">
                  <c:v>2024-07-21</c:v>
                </c:pt>
                <c:pt idx="133">
                  <c:v>2024-07-28</c:v>
                </c:pt>
                <c:pt idx="134">
                  <c:v>2024-08-04</c:v>
                </c:pt>
                <c:pt idx="135">
                  <c:v>2024-08-11</c:v>
                </c:pt>
                <c:pt idx="136">
                  <c:v>2024-08-18</c:v>
                </c:pt>
                <c:pt idx="137">
                  <c:v>2024-08-25</c:v>
                </c:pt>
                <c:pt idx="138">
                  <c:v>2024-09-01</c:v>
                </c:pt>
                <c:pt idx="139">
                  <c:v>2024-09-08</c:v>
                </c:pt>
                <c:pt idx="140">
                  <c:v>2024-09-15</c:v>
                </c:pt>
                <c:pt idx="141">
                  <c:v>2024-09-22</c:v>
                </c:pt>
                <c:pt idx="142">
                  <c:v>2024-09-29</c:v>
                </c:pt>
                <c:pt idx="143">
                  <c:v>2024-10-06</c:v>
                </c:pt>
                <c:pt idx="144">
                  <c:v>2024-10-13</c:v>
                </c:pt>
                <c:pt idx="145">
                  <c:v>2024-10-20</c:v>
                </c:pt>
                <c:pt idx="146">
                  <c:v>2024-10-27</c:v>
                </c:pt>
                <c:pt idx="147">
                  <c:v>2024-11-03</c:v>
                </c:pt>
                <c:pt idx="148">
                  <c:v>2024-11-10</c:v>
                </c:pt>
                <c:pt idx="149">
                  <c:v>2024-11-17</c:v>
                </c:pt>
                <c:pt idx="150">
                  <c:v>2024-11-24</c:v>
                </c:pt>
                <c:pt idx="151">
                  <c:v>2024-12-01</c:v>
                </c:pt>
                <c:pt idx="152">
                  <c:v>2024-12-08</c:v>
                </c:pt>
                <c:pt idx="153">
                  <c:v>2024-12-15</c:v>
                </c:pt>
                <c:pt idx="154">
                  <c:v>2024-12-22</c:v>
                </c:pt>
                <c:pt idx="155">
                  <c:v>2024-12-29</c:v>
                </c:pt>
                <c:pt idx="156">
                  <c:v>2025-01-05</c:v>
                </c:pt>
                <c:pt idx="157">
                  <c:v>2025-01-12</c:v>
                </c:pt>
                <c:pt idx="158">
                  <c:v>2025-01-19</c:v>
                </c:pt>
                <c:pt idx="159">
                  <c:v>2025-01-26</c:v>
                </c:pt>
                <c:pt idx="160">
                  <c:v>2025-02-02</c:v>
                </c:pt>
                <c:pt idx="161">
                  <c:v>2025-02-09</c:v>
                </c:pt>
                <c:pt idx="162">
                  <c:v>2025-02-16</c:v>
                </c:pt>
                <c:pt idx="163">
                  <c:v>2025-02-23</c:v>
                </c:pt>
                <c:pt idx="164">
                  <c:v>2025-03-02</c:v>
                </c:pt>
                <c:pt idx="165">
                  <c:v>2025-03-09</c:v>
                </c:pt>
                <c:pt idx="166">
                  <c:v>2025-03-16</c:v>
                </c:pt>
                <c:pt idx="167">
                  <c:v>2025-03-23</c:v>
                </c:pt>
                <c:pt idx="168">
                  <c:v>2025-03-30</c:v>
                </c:pt>
                <c:pt idx="169">
                  <c:v>2025-04-06</c:v>
                </c:pt>
                <c:pt idx="170">
                  <c:v>2025-04-13</c:v>
                </c:pt>
                <c:pt idx="171">
                  <c:v>2025-04-20</c:v>
                </c:pt>
                <c:pt idx="172">
                  <c:v>2025-04-27</c:v>
                </c:pt>
                <c:pt idx="173">
                  <c:v>2025-05-04</c:v>
                </c:pt>
                <c:pt idx="174">
                  <c:v>2025-05-11</c:v>
                </c:pt>
                <c:pt idx="175">
                  <c:v>2025-05-18</c:v>
                </c:pt>
                <c:pt idx="176">
                  <c:v>2025-05-25</c:v>
                </c:pt>
                <c:pt idx="177">
                  <c:v>2025-06-01</c:v>
                </c:pt>
                <c:pt idx="178">
                  <c:v>2025-06-08</c:v>
                </c:pt>
                <c:pt idx="179">
                  <c:v>2025-06-15</c:v>
                </c:pt>
                <c:pt idx="180">
                  <c:v>2025-06-22</c:v>
                </c:pt>
                <c:pt idx="181">
                  <c:v>2025-06-29</c:v>
                </c:pt>
              </c:strCache>
            </c:strRef>
          </c:cat>
          <c:val>
            <c:numRef>
              <c:f>ets_test_and_training_chart!$E$11:$E$192</c:f>
              <c:numCache>
                <c:formatCode>General</c:formatCode>
                <c:ptCount val="182"/>
                <c:pt idx="156">
                  <c:v>107.70431698398198</c:v>
                </c:pt>
                <c:pt idx="157">
                  <c:v>66.041721607044025</c:v>
                </c:pt>
                <c:pt idx="158">
                  <c:v>98.979849789032073</c:v>
                </c:pt>
                <c:pt idx="159">
                  <c:v>206.80347756912036</c:v>
                </c:pt>
                <c:pt idx="160">
                  <c:v>122.16377410822599</c:v>
                </c:pt>
                <c:pt idx="161">
                  <c:v>112.86450609326664</c:v>
                </c:pt>
                <c:pt idx="162">
                  <c:v>62.517080700515685</c:v>
                </c:pt>
                <c:pt idx="163">
                  <c:v>126.43224450227142</c:v>
                </c:pt>
                <c:pt idx="164">
                  <c:v>80.686848577983667</c:v>
                </c:pt>
                <c:pt idx="165">
                  <c:v>119.61657985134617</c:v>
                </c:pt>
                <c:pt idx="166">
                  <c:v>59.224409182287602</c:v>
                </c:pt>
                <c:pt idx="167">
                  <c:v>145.57274273913396</c:v>
                </c:pt>
                <c:pt idx="168">
                  <c:v>81.540449675917387</c:v>
                </c:pt>
                <c:pt idx="169">
                  <c:v>134.57217272044355</c:v>
                </c:pt>
                <c:pt idx="170">
                  <c:v>106.10128831790698</c:v>
                </c:pt>
                <c:pt idx="171">
                  <c:v>118.39036195049225</c:v>
                </c:pt>
                <c:pt idx="172">
                  <c:v>130.76540555551935</c:v>
                </c:pt>
                <c:pt idx="173">
                  <c:v>132.24061789746287</c:v>
                </c:pt>
                <c:pt idx="174">
                  <c:v>196.40941245185707</c:v>
                </c:pt>
                <c:pt idx="175">
                  <c:v>159.25274114000334</c:v>
                </c:pt>
                <c:pt idx="176">
                  <c:v>113.35920485629855</c:v>
                </c:pt>
                <c:pt idx="177">
                  <c:v>89.042272645791329</c:v>
                </c:pt>
                <c:pt idx="178">
                  <c:v>132.76600355010152</c:v>
                </c:pt>
                <c:pt idx="179">
                  <c:v>114.527613469128</c:v>
                </c:pt>
                <c:pt idx="180">
                  <c:v>121.63418437587974</c:v>
                </c:pt>
                <c:pt idx="181">
                  <c:v>134.42549843209525</c:v>
                </c:pt>
              </c:numCache>
            </c:numRef>
          </c:val>
          <c:smooth val="0"/>
          <c:extLst>
            <c:ext xmlns:c16="http://schemas.microsoft.com/office/drawing/2014/chart" uri="{C3380CC4-5D6E-409C-BE32-E72D297353CC}">
              <c16:uniqueId val="{00000005-C9BB-4B79-B32B-75FBFC190D2D}"/>
            </c:ext>
          </c:extLst>
        </c:ser>
        <c:ser>
          <c:idx val="4"/>
          <c:order val="4"/>
          <c:tx>
            <c:strRef>
              <c:f>ets_test_and_training_chart!$F$9:$F$10</c:f>
              <c:strCache>
                <c:ptCount val="1"/>
                <c:pt idx="0">
                  <c:v>Sum of moving_average</c:v>
                </c:pt>
              </c:strCache>
            </c:strRef>
          </c:tx>
          <c:spPr>
            <a:ln w="28575" cap="rnd">
              <a:solidFill>
                <a:schemeClr val="accent6"/>
              </a:solidFill>
              <a:round/>
            </a:ln>
            <a:effectLst/>
          </c:spPr>
          <c:marker>
            <c:symbol val="none"/>
          </c:marker>
          <c:cat>
            <c:strRef>
              <c:f>ets_test_and_training_chart!$A$11:$A$192</c:f>
              <c:strCache>
                <c:ptCount val="182"/>
                <c:pt idx="0">
                  <c:v>2022-01-09</c:v>
                </c:pt>
                <c:pt idx="1">
                  <c:v>2022-01-16</c:v>
                </c:pt>
                <c:pt idx="2">
                  <c:v>2022-01-23</c:v>
                </c:pt>
                <c:pt idx="3">
                  <c:v>2022-01-30</c:v>
                </c:pt>
                <c:pt idx="4">
                  <c:v>2022-02-06</c:v>
                </c:pt>
                <c:pt idx="5">
                  <c:v>2022-02-13</c:v>
                </c:pt>
                <c:pt idx="6">
                  <c:v>2022-02-20</c:v>
                </c:pt>
                <c:pt idx="7">
                  <c:v>2022-02-27</c:v>
                </c:pt>
                <c:pt idx="8">
                  <c:v>2022-03-06</c:v>
                </c:pt>
                <c:pt idx="9">
                  <c:v>2022-03-13</c:v>
                </c:pt>
                <c:pt idx="10">
                  <c:v>2022-03-20</c:v>
                </c:pt>
                <c:pt idx="11">
                  <c:v>2022-03-27</c:v>
                </c:pt>
                <c:pt idx="12">
                  <c:v>2022-04-03</c:v>
                </c:pt>
                <c:pt idx="13">
                  <c:v>2022-04-10</c:v>
                </c:pt>
                <c:pt idx="14">
                  <c:v>2022-04-17</c:v>
                </c:pt>
                <c:pt idx="15">
                  <c:v>2022-04-24</c:v>
                </c:pt>
                <c:pt idx="16">
                  <c:v>2022-05-01</c:v>
                </c:pt>
                <c:pt idx="17">
                  <c:v>2022-05-08</c:v>
                </c:pt>
                <c:pt idx="18">
                  <c:v>2022-05-15</c:v>
                </c:pt>
                <c:pt idx="19">
                  <c:v>2022-05-22</c:v>
                </c:pt>
                <c:pt idx="20">
                  <c:v>2022-05-29</c:v>
                </c:pt>
                <c:pt idx="21">
                  <c:v>2022-06-05</c:v>
                </c:pt>
                <c:pt idx="22">
                  <c:v>2022-06-12</c:v>
                </c:pt>
                <c:pt idx="23">
                  <c:v>2022-06-19</c:v>
                </c:pt>
                <c:pt idx="24">
                  <c:v>2022-06-26</c:v>
                </c:pt>
                <c:pt idx="25">
                  <c:v>2022-07-03</c:v>
                </c:pt>
                <c:pt idx="26">
                  <c:v>2022-07-10</c:v>
                </c:pt>
                <c:pt idx="27">
                  <c:v>2022-07-17</c:v>
                </c:pt>
                <c:pt idx="28">
                  <c:v>2022-07-24</c:v>
                </c:pt>
                <c:pt idx="29">
                  <c:v>2022-07-31</c:v>
                </c:pt>
                <c:pt idx="30">
                  <c:v>2022-08-07</c:v>
                </c:pt>
                <c:pt idx="31">
                  <c:v>2022-08-14</c:v>
                </c:pt>
                <c:pt idx="32">
                  <c:v>2022-08-21</c:v>
                </c:pt>
                <c:pt idx="33">
                  <c:v>2022-08-28</c:v>
                </c:pt>
                <c:pt idx="34">
                  <c:v>2022-09-04</c:v>
                </c:pt>
                <c:pt idx="35">
                  <c:v>2022-09-11</c:v>
                </c:pt>
                <c:pt idx="36">
                  <c:v>2022-09-18</c:v>
                </c:pt>
                <c:pt idx="37">
                  <c:v>2022-09-25</c:v>
                </c:pt>
                <c:pt idx="38">
                  <c:v>2022-10-02</c:v>
                </c:pt>
                <c:pt idx="39">
                  <c:v>2022-10-09</c:v>
                </c:pt>
                <c:pt idx="40">
                  <c:v>2022-10-16</c:v>
                </c:pt>
                <c:pt idx="41">
                  <c:v>2022-10-23</c:v>
                </c:pt>
                <c:pt idx="42">
                  <c:v>2022-10-30</c:v>
                </c:pt>
                <c:pt idx="43">
                  <c:v>2022-11-06</c:v>
                </c:pt>
                <c:pt idx="44">
                  <c:v>2022-11-13</c:v>
                </c:pt>
                <c:pt idx="45">
                  <c:v>2022-11-20</c:v>
                </c:pt>
                <c:pt idx="46">
                  <c:v>2022-11-27</c:v>
                </c:pt>
                <c:pt idx="47">
                  <c:v>2022-12-04</c:v>
                </c:pt>
                <c:pt idx="48">
                  <c:v>2022-12-11</c:v>
                </c:pt>
                <c:pt idx="49">
                  <c:v>2022-12-18</c:v>
                </c:pt>
                <c:pt idx="50">
                  <c:v>2022-12-25</c:v>
                </c:pt>
                <c:pt idx="51">
                  <c:v>2023-01-01</c:v>
                </c:pt>
                <c:pt idx="52">
                  <c:v>2023-01-08</c:v>
                </c:pt>
                <c:pt idx="53">
                  <c:v>2023-01-15</c:v>
                </c:pt>
                <c:pt idx="54">
                  <c:v>2023-01-22</c:v>
                </c:pt>
                <c:pt idx="55">
                  <c:v>2023-01-29</c:v>
                </c:pt>
                <c:pt idx="56">
                  <c:v>2023-02-05</c:v>
                </c:pt>
                <c:pt idx="57">
                  <c:v>2023-02-12</c:v>
                </c:pt>
                <c:pt idx="58">
                  <c:v>2023-02-19</c:v>
                </c:pt>
                <c:pt idx="59">
                  <c:v>2023-02-26</c:v>
                </c:pt>
                <c:pt idx="60">
                  <c:v>2023-03-05</c:v>
                </c:pt>
                <c:pt idx="61">
                  <c:v>2023-03-12</c:v>
                </c:pt>
                <c:pt idx="62">
                  <c:v>2023-03-19</c:v>
                </c:pt>
                <c:pt idx="63">
                  <c:v>2023-03-26</c:v>
                </c:pt>
                <c:pt idx="64">
                  <c:v>2023-04-02</c:v>
                </c:pt>
                <c:pt idx="65">
                  <c:v>2023-04-09</c:v>
                </c:pt>
                <c:pt idx="66">
                  <c:v>2023-04-16</c:v>
                </c:pt>
                <c:pt idx="67">
                  <c:v>2023-04-23</c:v>
                </c:pt>
                <c:pt idx="68">
                  <c:v>2023-04-30</c:v>
                </c:pt>
                <c:pt idx="69">
                  <c:v>2023-05-07</c:v>
                </c:pt>
                <c:pt idx="70">
                  <c:v>2023-05-14</c:v>
                </c:pt>
                <c:pt idx="71">
                  <c:v>2023-05-21</c:v>
                </c:pt>
                <c:pt idx="72">
                  <c:v>2023-05-28</c:v>
                </c:pt>
                <c:pt idx="73">
                  <c:v>2023-06-04</c:v>
                </c:pt>
                <c:pt idx="74">
                  <c:v>2023-06-11</c:v>
                </c:pt>
                <c:pt idx="75">
                  <c:v>2023-06-18</c:v>
                </c:pt>
                <c:pt idx="76">
                  <c:v>2023-06-25</c:v>
                </c:pt>
                <c:pt idx="77">
                  <c:v>2023-07-02</c:v>
                </c:pt>
                <c:pt idx="78">
                  <c:v>2023-07-09</c:v>
                </c:pt>
                <c:pt idx="79">
                  <c:v>2023-07-16</c:v>
                </c:pt>
                <c:pt idx="80">
                  <c:v>2023-07-23</c:v>
                </c:pt>
                <c:pt idx="81">
                  <c:v>2023-07-30</c:v>
                </c:pt>
                <c:pt idx="82">
                  <c:v>2023-08-06</c:v>
                </c:pt>
                <c:pt idx="83">
                  <c:v>2023-08-13</c:v>
                </c:pt>
                <c:pt idx="84">
                  <c:v>2023-08-20</c:v>
                </c:pt>
                <c:pt idx="85">
                  <c:v>2023-08-27</c:v>
                </c:pt>
                <c:pt idx="86">
                  <c:v>2023-09-03</c:v>
                </c:pt>
                <c:pt idx="87">
                  <c:v>2023-09-10</c:v>
                </c:pt>
                <c:pt idx="88">
                  <c:v>2023-09-17</c:v>
                </c:pt>
                <c:pt idx="89">
                  <c:v>2023-09-24</c:v>
                </c:pt>
                <c:pt idx="90">
                  <c:v>2023-10-01</c:v>
                </c:pt>
                <c:pt idx="91">
                  <c:v>2023-10-08</c:v>
                </c:pt>
                <c:pt idx="92">
                  <c:v>2023-10-15</c:v>
                </c:pt>
                <c:pt idx="93">
                  <c:v>2023-10-22</c:v>
                </c:pt>
                <c:pt idx="94">
                  <c:v>2023-10-29</c:v>
                </c:pt>
                <c:pt idx="95">
                  <c:v>2023-11-05</c:v>
                </c:pt>
                <c:pt idx="96">
                  <c:v>2023-11-12</c:v>
                </c:pt>
                <c:pt idx="97">
                  <c:v>2023-11-19</c:v>
                </c:pt>
                <c:pt idx="98">
                  <c:v>2023-11-26</c:v>
                </c:pt>
                <c:pt idx="99">
                  <c:v>2023-12-03</c:v>
                </c:pt>
                <c:pt idx="100">
                  <c:v>2023-12-10</c:v>
                </c:pt>
                <c:pt idx="101">
                  <c:v>2023-12-17</c:v>
                </c:pt>
                <c:pt idx="102">
                  <c:v>2023-12-24</c:v>
                </c:pt>
                <c:pt idx="103">
                  <c:v>2023-12-31</c:v>
                </c:pt>
                <c:pt idx="104">
                  <c:v>2024-01-07</c:v>
                </c:pt>
                <c:pt idx="105">
                  <c:v>2024-01-14</c:v>
                </c:pt>
                <c:pt idx="106">
                  <c:v>2024-01-21</c:v>
                </c:pt>
                <c:pt idx="107">
                  <c:v>2024-01-28</c:v>
                </c:pt>
                <c:pt idx="108">
                  <c:v>2024-02-04</c:v>
                </c:pt>
                <c:pt idx="109">
                  <c:v>2024-02-11</c:v>
                </c:pt>
                <c:pt idx="110">
                  <c:v>2024-02-18</c:v>
                </c:pt>
                <c:pt idx="111">
                  <c:v>2024-02-25</c:v>
                </c:pt>
                <c:pt idx="112">
                  <c:v>2024-03-03</c:v>
                </c:pt>
                <c:pt idx="113">
                  <c:v>2024-03-10</c:v>
                </c:pt>
                <c:pt idx="114">
                  <c:v>2024-03-17</c:v>
                </c:pt>
                <c:pt idx="115">
                  <c:v>2024-03-24</c:v>
                </c:pt>
                <c:pt idx="116">
                  <c:v>2024-03-31</c:v>
                </c:pt>
                <c:pt idx="117">
                  <c:v>2024-04-07</c:v>
                </c:pt>
                <c:pt idx="118">
                  <c:v>2024-04-14</c:v>
                </c:pt>
                <c:pt idx="119">
                  <c:v>2024-04-21</c:v>
                </c:pt>
                <c:pt idx="120">
                  <c:v>2024-04-28</c:v>
                </c:pt>
                <c:pt idx="121">
                  <c:v>2024-05-05</c:v>
                </c:pt>
                <c:pt idx="122">
                  <c:v>2024-05-12</c:v>
                </c:pt>
                <c:pt idx="123">
                  <c:v>2024-05-19</c:v>
                </c:pt>
                <c:pt idx="124">
                  <c:v>2024-05-26</c:v>
                </c:pt>
                <c:pt idx="125">
                  <c:v>2024-06-02</c:v>
                </c:pt>
                <c:pt idx="126">
                  <c:v>2024-06-09</c:v>
                </c:pt>
                <c:pt idx="127">
                  <c:v>2024-06-16</c:v>
                </c:pt>
                <c:pt idx="128">
                  <c:v>2024-06-23</c:v>
                </c:pt>
                <c:pt idx="129">
                  <c:v>2024-06-30</c:v>
                </c:pt>
                <c:pt idx="130">
                  <c:v>2024-07-07</c:v>
                </c:pt>
                <c:pt idx="131">
                  <c:v>2024-07-14</c:v>
                </c:pt>
                <c:pt idx="132">
                  <c:v>2024-07-21</c:v>
                </c:pt>
                <c:pt idx="133">
                  <c:v>2024-07-28</c:v>
                </c:pt>
                <c:pt idx="134">
                  <c:v>2024-08-04</c:v>
                </c:pt>
                <c:pt idx="135">
                  <c:v>2024-08-11</c:v>
                </c:pt>
                <c:pt idx="136">
                  <c:v>2024-08-18</c:v>
                </c:pt>
                <c:pt idx="137">
                  <c:v>2024-08-25</c:v>
                </c:pt>
                <c:pt idx="138">
                  <c:v>2024-09-01</c:v>
                </c:pt>
                <c:pt idx="139">
                  <c:v>2024-09-08</c:v>
                </c:pt>
                <c:pt idx="140">
                  <c:v>2024-09-15</c:v>
                </c:pt>
                <c:pt idx="141">
                  <c:v>2024-09-22</c:v>
                </c:pt>
                <c:pt idx="142">
                  <c:v>2024-09-29</c:v>
                </c:pt>
                <c:pt idx="143">
                  <c:v>2024-10-06</c:v>
                </c:pt>
                <c:pt idx="144">
                  <c:v>2024-10-13</c:v>
                </c:pt>
                <c:pt idx="145">
                  <c:v>2024-10-20</c:v>
                </c:pt>
                <c:pt idx="146">
                  <c:v>2024-10-27</c:v>
                </c:pt>
                <c:pt idx="147">
                  <c:v>2024-11-03</c:v>
                </c:pt>
                <c:pt idx="148">
                  <c:v>2024-11-10</c:v>
                </c:pt>
                <c:pt idx="149">
                  <c:v>2024-11-17</c:v>
                </c:pt>
                <c:pt idx="150">
                  <c:v>2024-11-24</c:v>
                </c:pt>
                <c:pt idx="151">
                  <c:v>2024-12-01</c:v>
                </c:pt>
                <c:pt idx="152">
                  <c:v>2024-12-08</c:v>
                </c:pt>
                <c:pt idx="153">
                  <c:v>2024-12-15</c:v>
                </c:pt>
                <c:pt idx="154">
                  <c:v>2024-12-22</c:v>
                </c:pt>
                <c:pt idx="155">
                  <c:v>2024-12-29</c:v>
                </c:pt>
                <c:pt idx="156">
                  <c:v>2025-01-05</c:v>
                </c:pt>
                <c:pt idx="157">
                  <c:v>2025-01-12</c:v>
                </c:pt>
                <c:pt idx="158">
                  <c:v>2025-01-19</c:v>
                </c:pt>
                <c:pt idx="159">
                  <c:v>2025-01-26</c:v>
                </c:pt>
                <c:pt idx="160">
                  <c:v>2025-02-02</c:v>
                </c:pt>
                <c:pt idx="161">
                  <c:v>2025-02-09</c:v>
                </c:pt>
                <c:pt idx="162">
                  <c:v>2025-02-16</c:v>
                </c:pt>
                <c:pt idx="163">
                  <c:v>2025-02-23</c:v>
                </c:pt>
                <c:pt idx="164">
                  <c:v>2025-03-02</c:v>
                </c:pt>
                <c:pt idx="165">
                  <c:v>2025-03-09</c:v>
                </c:pt>
                <c:pt idx="166">
                  <c:v>2025-03-16</c:v>
                </c:pt>
                <c:pt idx="167">
                  <c:v>2025-03-23</c:v>
                </c:pt>
                <c:pt idx="168">
                  <c:v>2025-03-30</c:v>
                </c:pt>
                <c:pt idx="169">
                  <c:v>2025-04-06</c:v>
                </c:pt>
                <c:pt idx="170">
                  <c:v>2025-04-13</c:v>
                </c:pt>
                <c:pt idx="171">
                  <c:v>2025-04-20</c:v>
                </c:pt>
                <c:pt idx="172">
                  <c:v>2025-04-27</c:v>
                </c:pt>
                <c:pt idx="173">
                  <c:v>2025-05-04</c:v>
                </c:pt>
                <c:pt idx="174">
                  <c:v>2025-05-11</c:v>
                </c:pt>
                <c:pt idx="175">
                  <c:v>2025-05-18</c:v>
                </c:pt>
                <c:pt idx="176">
                  <c:v>2025-05-25</c:v>
                </c:pt>
                <c:pt idx="177">
                  <c:v>2025-06-01</c:v>
                </c:pt>
                <c:pt idx="178">
                  <c:v>2025-06-08</c:v>
                </c:pt>
                <c:pt idx="179">
                  <c:v>2025-06-15</c:v>
                </c:pt>
                <c:pt idx="180">
                  <c:v>2025-06-22</c:v>
                </c:pt>
                <c:pt idx="181">
                  <c:v>2025-06-29</c:v>
                </c:pt>
              </c:strCache>
            </c:strRef>
          </c:cat>
          <c:val>
            <c:numRef>
              <c:f>ets_test_and_training_chart!$F$11:$F$192</c:f>
              <c:numCache>
                <c:formatCode>General</c:formatCode>
                <c:ptCount val="1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135.75189776056123</c:v>
                </c:pt>
                <c:pt idx="157">
                  <c:v>124.69531864463683</c:v>
                </c:pt>
                <c:pt idx="158">
                  <c:v>86.31174398459541</c:v>
                </c:pt>
                <c:pt idx="159">
                  <c:v>44.432414628996099</c:v>
                </c:pt>
                <c:pt idx="160">
                  <c:v>47.46097540176055</c:v>
                </c:pt>
                <c:pt idx="161">
                  <c:v>48.804982790817881</c:v>
                </c:pt>
                <c:pt idx="162">
                  <c:v>100.4274231738072</c:v>
                </c:pt>
                <c:pt idx="163">
                  <c:v>128.45217034667468</c:v>
                </c:pt>
                <c:pt idx="164">
                  <c:v>103.70326035559874</c:v>
                </c:pt>
                <c:pt idx="165">
                  <c:v>138.80065232212448</c:v>
                </c:pt>
                <c:pt idx="166">
                  <c:v>113.77792405407858</c:v>
                </c:pt>
                <c:pt idx="167">
                  <c:v>123.91366548638626</c:v>
                </c:pt>
                <c:pt idx="168">
                  <c:v>163.72661761395017</c:v>
                </c:pt>
                <c:pt idx="169">
                  <c:v>147.43047504294731</c:v>
                </c:pt>
                <c:pt idx="170">
                  <c:v>153.32744733436544</c:v>
                </c:pt>
                <c:pt idx="171">
                  <c:v>147.22618808099008</c:v>
                </c:pt>
                <c:pt idx="172">
                  <c:v>121.09692790972747</c:v>
                </c:pt>
                <c:pt idx="173">
                  <c:v>123.33631473375227</c:v>
                </c:pt>
                <c:pt idx="174">
                  <c:v>135.20136960786766</c:v>
                </c:pt>
                <c:pt idx="175">
                  <c:v>131.34800302769261</c:v>
                </c:pt>
                <c:pt idx="176">
                  <c:v>163.50418360030233</c:v>
                </c:pt>
                <c:pt idx="177">
                  <c:v>168.52637677550945</c:v>
                </c:pt>
                <c:pt idx="178">
                  <c:v>181.97847556266618</c:v>
                </c:pt>
                <c:pt idx="179">
                  <c:v>182.72996647880299</c:v>
                </c:pt>
                <c:pt idx="180">
                  <c:v>169.44735641449594</c:v>
                </c:pt>
                <c:pt idx="181">
                  <c:v>161.63735591675362</c:v>
                </c:pt>
              </c:numCache>
            </c:numRef>
          </c:val>
          <c:smooth val="0"/>
          <c:extLst>
            <c:ext xmlns:c16="http://schemas.microsoft.com/office/drawing/2014/chart" uri="{C3380CC4-5D6E-409C-BE32-E72D297353CC}">
              <c16:uniqueId val="{00000007-C9BB-4B79-B32B-75FBFC190D2D}"/>
            </c:ext>
          </c:extLst>
        </c:ser>
        <c:dLbls>
          <c:showLegendKey val="0"/>
          <c:showVal val="0"/>
          <c:showCatName val="0"/>
          <c:showSerName val="0"/>
          <c:showPercent val="0"/>
          <c:showBubbleSize val="0"/>
        </c:dLbls>
        <c:smooth val="0"/>
        <c:axId val="1720406927"/>
        <c:axId val="1720407887"/>
      </c:lineChart>
      <c:catAx>
        <c:axId val="172040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407887"/>
        <c:crosses val="autoZero"/>
        <c:auto val="1"/>
        <c:lblAlgn val="ctr"/>
        <c:lblOffset val="100"/>
        <c:noMultiLvlLbl val="0"/>
      </c:catAx>
      <c:valAx>
        <c:axId val="1720407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406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[Forecast_ETS_v01.01.xlsm]ets_forecast_error!ets_forecast_error</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ets_forecast_error!$B$9:$B$10</c:f>
              <c:strCache>
                <c:ptCount val="1"/>
                <c:pt idx="0">
                  <c:v>Average of excel_ets_ae</c:v>
                </c:pt>
              </c:strCache>
            </c:strRef>
          </c:tx>
          <c:spPr>
            <a:solidFill>
              <a:schemeClr val="accent1"/>
            </a:solidFill>
            <a:ln>
              <a:noFill/>
            </a:ln>
            <a:effectLst/>
          </c:spPr>
          <c:invertIfNegative val="0"/>
          <c:cat>
            <c:strRef>
              <c:f>ets_forecast_error!$A$11:$A$16</c:f>
              <c:strCache>
                <c:ptCount val="6"/>
                <c:pt idx="0">
                  <c:v>1.1_sin_flat_series</c:v>
                </c:pt>
                <c:pt idx="1">
                  <c:v>1.2_sin_trend_series</c:v>
                </c:pt>
                <c:pt idx="2">
                  <c:v>1.3_sin_trend_noise_series</c:v>
                </c:pt>
                <c:pt idx="3">
                  <c:v>2.1_dual_spikey_flat</c:v>
                </c:pt>
                <c:pt idx="4">
                  <c:v>2.2_dual_spikey_trend</c:v>
                </c:pt>
                <c:pt idx="5">
                  <c:v>2.3_dual_spikey_trend_noise</c:v>
                </c:pt>
              </c:strCache>
            </c:strRef>
          </c:cat>
          <c:val>
            <c:numRef>
              <c:f>ets_forecast_error!$B$11:$B$16</c:f>
              <c:numCache>
                <c:formatCode>General</c:formatCode>
                <c:ptCount val="6"/>
                <c:pt idx="0">
                  <c:v>2.5688852754403622E-14</c:v>
                </c:pt>
                <c:pt idx="1">
                  <c:v>2.0769710737602927E-14</c:v>
                </c:pt>
                <c:pt idx="2">
                  <c:v>21.34629371234319</c:v>
                </c:pt>
                <c:pt idx="3">
                  <c:v>4.1921774620250538</c:v>
                </c:pt>
                <c:pt idx="4">
                  <c:v>6.7242118610197394</c:v>
                </c:pt>
                <c:pt idx="5">
                  <c:v>71.948252030005207</c:v>
                </c:pt>
              </c:numCache>
            </c:numRef>
          </c:val>
          <c:extLst>
            <c:ext xmlns:c16="http://schemas.microsoft.com/office/drawing/2014/chart" uri="{C3380CC4-5D6E-409C-BE32-E72D297353CC}">
              <c16:uniqueId val="{00000000-0975-44B3-9324-9B5B1AA4EEA1}"/>
            </c:ext>
          </c:extLst>
        </c:ser>
        <c:ser>
          <c:idx val="1"/>
          <c:order val="1"/>
          <c:tx>
            <c:strRef>
              <c:f>ets_forecast_error!$C$9:$C$10</c:f>
              <c:strCache>
                <c:ptCount val="1"/>
                <c:pt idx="0">
                  <c:v>Average of statsmodels_ets_ae</c:v>
                </c:pt>
              </c:strCache>
            </c:strRef>
          </c:tx>
          <c:spPr>
            <a:solidFill>
              <a:schemeClr val="accent2"/>
            </a:solidFill>
            <a:ln>
              <a:noFill/>
            </a:ln>
            <a:effectLst/>
          </c:spPr>
          <c:invertIfNegative val="0"/>
          <c:cat>
            <c:strRef>
              <c:f>ets_forecast_error!$A$11:$A$16</c:f>
              <c:strCache>
                <c:ptCount val="6"/>
                <c:pt idx="0">
                  <c:v>1.1_sin_flat_series</c:v>
                </c:pt>
                <c:pt idx="1">
                  <c:v>1.2_sin_trend_series</c:v>
                </c:pt>
                <c:pt idx="2">
                  <c:v>1.3_sin_trend_noise_series</c:v>
                </c:pt>
                <c:pt idx="3">
                  <c:v>2.1_dual_spikey_flat</c:v>
                </c:pt>
                <c:pt idx="4">
                  <c:v>2.2_dual_spikey_trend</c:v>
                </c:pt>
                <c:pt idx="5">
                  <c:v>2.3_dual_spikey_trend_noise</c:v>
                </c:pt>
              </c:strCache>
            </c:strRef>
          </c:cat>
          <c:val>
            <c:numRef>
              <c:f>ets_forecast_error!$C$11:$C$16</c:f>
              <c:numCache>
                <c:formatCode>General</c:formatCode>
                <c:ptCount val="6"/>
                <c:pt idx="0">
                  <c:v>2.5688852754403622E-14</c:v>
                </c:pt>
                <c:pt idx="1">
                  <c:v>0.12254776233202427</c:v>
                </c:pt>
                <c:pt idx="2">
                  <c:v>19.831546026236261</c:v>
                </c:pt>
                <c:pt idx="3">
                  <c:v>4.7804081124945919</c:v>
                </c:pt>
                <c:pt idx="4">
                  <c:v>6.8696581107467631</c:v>
                </c:pt>
                <c:pt idx="5">
                  <c:v>49.506201956731452</c:v>
                </c:pt>
              </c:numCache>
            </c:numRef>
          </c:val>
          <c:extLst>
            <c:ext xmlns:c16="http://schemas.microsoft.com/office/drawing/2014/chart" uri="{C3380CC4-5D6E-409C-BE32-E72D297353CC}">
              <c16:uniqueId val="{00000001-0975-44B3-9324-9B5B1AA4EEA1}"/>
            </c:ext>
          </c:extLst>
        </c:ser>
        <c:ser>
          <c:idx val="2"/>
          <c:order val="2"/>
          <c:tx>
            <c:strRef>
              <c:f>ets_forecast_error!$D$9:$D$10</c:f>
              <c:strCache>
                <c:ptCount val="1"/>
                <c:pt idx="0">
                  <c:v>Average of moving_average_ae</c:v>
                </c:pt>
              </c:strCache>
            </c:strRef>
          </c:tx>
          <c:spPr>
            <a:solidFill>
              <a:schemeClr val="accent3"/>
            </a:solidFill>
            <a:ln>
              <a:noFill/>
            </a:ln>
            <a:effectLst/>
          </c:spPr>
          <c:invertIfNegative val="0"/>
          <c:cat>
            <c:strRef>
              <c:f>ets_forecast_error!$A$11:$A$16</c:f>
              <c:strCache>
                <c:ptCount val="6"/>
                <c:pt idx="0">
                  <c:v>1.1_sin_flat_series</c:v>
                </c:pt>
                <c:pt idx="1">
                  <c:v>1.2_sin_trend_series</c:v>
                </c:pt>
                <c:pt idx="2">
                  <c:v>1.3_sin_trend_noise_series</c:v>
                </c:pt>
                <c:pt idx="3">
                  <c:v>2.1_dual_spikey_flat</c:v>
                </c:pt>
                <c:pt idx="4">
                  <c:v>2.2_dual_spikey_trend</c:v>
                </c:pt>
                <c:pt idx="5">
                  <c:v>2.3_dual_spikey_trend_noise</c:v>
                </c:pt>
              </c:strCache>
            </c:strRef>
          </c:cat>
          <c:val>
            <c:numRef>
              <c:f>ets_forecast_error!$D$11:$D$16</c:f>
              <c:numCache>
                <c:formatCode>General</c:formatCode>
                <c:ptCount val="6"/>
                <c:pt idx="0">
                  <c:v>8.2668277791503204</c:v>
                </c:pt>
                <c:pt idx="1">
                  <c:v>9.1703274634896452</c:v>
                </c:pt>
                <c:pt idx="2">
                  <c:v>22.395047219619414</c:v>
                </c:pt>
                <c:pt idx="3">
                  <c:v>5.4990451409112273</c:v>
                </c:pt>
                <c:pt idx="4">
                  <c:v>7.1464806939750396</c:v>
                </c:pt>
                <c:pt idx="5">
                  <c:v>55.968120337625223</c:v>
                </c:pt>
              </c:numCache>
            </c:numRef>
          </c:val>
          <c:extLst>
            <c:ext xmlns:c16="http://schemas.microsoft.com/office/drawing/2014/chart" uri="{C3380CC4-5D6E-409C-BE32-E72D297353CC}">
              <c16:uniqueId val="{00000003-0975-44B3-9324-9B5B1AA4EEA1}"/>
            </c:ext>
          </c:extLst>
        </c:ser>
        <c:dLbls>
          <c:showLegendKey val="0"/>
          <c:showVal val="0"/>
          <c:showCatName val="0"/>
          <c:showSerName val="0"/>
          <c:showPercent val="0"/>
          <c:showBubbleSize val="0"/>
        </c:dLbls>
        <c:gapWidth val="219"/>
        <c:overlap val="-10"/>
        <c:axId val="1719801967"/>
        <c:axId val="1719800047"/>
      </c:barChart>
      <c:catAx>
        <c:axId val="171980196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719800047"/>
        <c:crosses val="autoZero"/>
        <c:auto val="1"/>
        <c:lblAlgn val="ctr"/>
        <c:lblOffset val="100"/>
        <c:noMultiLvlLbl val="0"/>
      </c:catAx>
      <c:valAx>
        <c:axId val="1719800047"/>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9801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7649" name="Create_Button" hidden="1">
              <a:extLst>
                <a:ext uri="{63B3BB69-23CF-44E3-9099-C40C66FF867C}">
                  <a14:compatExt spid="_x0000_s27649"/>
                </a:ext>
                <a:ext uri="{FF2B5EF4-FFF2-40B4-BE49-F238E27FC236}">
                  <a16:creationId xmlns:a16="http://schemas.microsoft.com/office/drawing/2014/main" id="{F5ED402B-B907-48D9-96D8-89F3D1EE9B96}"/>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7650" name="Upd_Button" hidden="1">
              <a:extLst>
                <a:ext uri="{63B3BB69-23CF-44E3-9099-C40C66FF867C}">
                  <a14:compatExt spid="_x0000_s27650"/>
                </a:ext>
                <a:ext uri="{FF2B5EF4-FFF2-40B4-BE49-F238E27FC236}">
                  <a16:creationId xmlns:a16="http://schemas.microsoft.com/office/drawing/2014/main" id="{BDECF4CE-B6BD-482E-8F65-7766601EB7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F47C117A-CC80-433C-BF23-007528EB3697}"/>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DD9BB82C-54AB-477B-8061-27A40CA950E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21" name="Create_Button" hidden="1">
              <a:extLst>
                <a:ext uri="{63B3BB69-23CF-44E3-9099-C40C66FF867C}">
                  <a14:compatExt spid="_x0000_s30721"/>
                </a:ext>
                <a:ext uri="{FF2B5EF4-FFF2-40B4-BE49-F238E27FC236}">
                  <a16:creationId xmlns:a16="http://schemas.microsoft.com/office/drawing/2014/main" id="{AC1B99E1-2E06-48D0-A4F6-65740FB9141A}"/>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22" name="Upd_Button" hidden="1">
              <a:extLst>
                <a:ext uri="{63B3BB69-23CF-44E3-9099-C40C66FF867C}">
                  <a14:compatExt spid="_x0000_s30722"/>
                </a:ext>
                <a:ext uri="{FF2B5EF4-FFF2-40B4-BE49-F238E27FC236}">
                  <a16:creationId xmlns:a16="http://schemas.microsoft.com/office/drawing/2014/main" id="{182D205B-5348-4A74-A05B-A99321A17E0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8673" name="Create_Button" hidden="1">
              <a:extLst>
                <a:ext uri="{63B3BB69-23CF-44E3-9099-C40C66FF867C}">
                  <a14:compatExt spid="_x0000_s28673"/>
                </a:ext>
                <a:ext uri="{FF2B5EF4-FFF2-40B4-BE49-F238E27FC236}">
                  <a16:creationId xmlns:a16="http://schemas.microsoft.com/office/drawing/2014/main" id="{6C3082C6-1B46-4F5E-961C-A46BEE404234}"/>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8674" name="Upd_Button" hidden="1">
              <a:extLst>
                <a:ext uri="{63B3BB69-23CF-44E3-9099-C40C66FF867C}">
                  <a14:compatExt spid="_x0000_s28674"/>
                </a:ext>
                <a:ext uri="{FF2B5EF4-FFF2-40B4-BE49-F238E27FC236}">
                  <a16:creationId xmlns:a16="http://schemas.microsoft.com/office/drawing/2014/main" id="{372A470D-05F5-474E-A2BF-D66B4E2384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9697" name="Create_Button" hidden="1">
              <a:extLst>
                <a:ext uri="{63B3BB69-23CF-44E3-9099-C40C66FF867C}">
                  <a14:compatExt spid="_x0000_s29697"/>
                </a:ext>
                <a:ext uri="{FF2B5EF4-FFF2-40B4-BE49-F238E27FC236}">
                  <a16:creationId xmlns:a16="http://schemas.microsoft.com/office/drawing/2014/main" id="{C66F495F-FB20-441E-8A3B-FBE53919BCC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9698" name="Upd_Button" hidden="1">
              <a:extLst>
                <a:ext uri="{63B3BB69-23CF-44E3-9099-C40C66FF867C}">
                  <a14:compatExt spid="_x0000_s29698"/>
                </a:ext>
                <a:ext uri="{FF2B5EF4-FFF2-40B4-BE49-F238E27FC236}">
                  <a16:creationId xmlns:a16="http://schemas.microsoft.com/office/drawing/2014/main" id="{09AEF72B-6F64-4C6F-9FB9-638D8F22267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twoCellAnchor editAs="oneCell">
    <xdr:from>
      <xdr:col>0</xdr:col>
      <xdr:colOff>908050</xdr:colOff>
      <xdr:row>4</xdr:row>
      <xdr:rowOff>76200</xdr:rowOff>
    </xdr:from>
    <xdr:to>
      <xdr:col>3</xdr:col>
      <xdr:colOff>336550</xdr:colOff>
      <xdr:row>18</xdr:row>
      <xdr:rowOff>22225</xdr:rowOff>
    </xdr:to>
    <mc:AlternateContent xmlns:mc="http://schemas.openxmlformats.org/markup-compatibility/2006">
      <mc:Choice xmlns:a14="http://schemas.microsoft.com/office/drawing/2010/main" Requires="a14">
        <xdr:graphicFrame macro="">
          <xdr:nvGraphicFramePr>
            <xdr:cNvPr id="2" name="item">
              <a:extLst>
                <a:ext uri="{FF2B5EF4-FFF2-40B4-BE49-F238E27FC236}">
                  <a16:creationId xmlns:a16="http://schemas.microsoft.com/office/drawing/2014/main" id="{5D8A8E66-DE2D-4FA7-7ECA-FEC9EFE1C500}"/>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dr:sp macro="" textlink="">
          <xdr:nvSpPr>
            <xdr:cNvPr id="0" name=""/>
            <xdr:cNvSpPr>
              <a:spLocks noTextEdit="1"/>
            </xdr:cNvSpPr>
          </xdr:nvSpPr>
          <xdr:spPr>
            <a:xfrm>
              <a:off x="908050" y="8128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406400</xdr:colOff>
      <xdr:row>4</xdr:row>
      <xdr:rowOff>95250</xdr:rowOff>
    </xdr:from>
    <xdr:to>
      <xdr:col>26</xdr:col>
      <xdr:colOff>469900</xdr:colOff>
      <xdr:row>34</xdr:row>
      <xdr:rowOff>146050</xdr:rowOff>
    </xdr:to>
    <xdr:graphicFrame macro="">
      <xdr:nvGraphicFramePr>
        <xdr:cNvPr id="3" name="Chart 2">
          <a:extLst>
            <a:ext uri="{FF2B5EF4-FFF2-40B4-BE49-F238E27FC236}">
              <a16:creationId xmlns:a16="http://schemas.microsoft.com/office/drawing/2014/main" id="{C17C0684-11C1-8450-7F57-CF53A77DCD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2769" name="Create_Button" hidden="1">
              <a:extLst>
                <a:ext uri="{63B3BB69-23CF-44E3-9099-C40C66FF867C}">
                  <a14:compatExt spid="_x0000_s32769"/>
                </a:ext>
                <a:ext uri="{FF2B5EF4-FFF2-40B4-BE49-F238E27FC236}">
                  <a16:creationId xmlns:a16="http://schemas.microsoft.com/office/drawing/2014/main" id="{5816DDE8-3F9A-40C3-9E7C-95216F95CD4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2770" name="Upd_Button" hidden="1">
              <a:extLst>
                <a:ext uri="{63B3BB69-23CF-44E3-9099-C40C66FF867C}">
                  <a14:compatExt spid="_x0000_s32770"/>
                </a:ext>
                <a:ext uri="{FF2B5EF4-FFF2-40B4-BE49-F238E27FC236}">
                  <a16:creationId xmlns:a16="http://schemas.microsoft.com/office/drawing/2014/main" id="{9C1C3E2F-91F6-4EA0-86A9-34FF393F08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twoCellAnchor>
    <xdr:from>
      <xdr:col>4</xdr:col>
      <xdr:colOff>323850</xdr:colOff>
      <xdr:row>3</xdr:row>
      <xdr:rowOff>165100</xdr:rowOff>
    </xdr:from>
    <xdr:to>
      <xdr:col>19</xdr:col>
      <xdr:colOff>38100</xdr:colOff>
      <xdr:row>35</xdr:row>
      <xdr:rowOff>177800</xdr:rowOff>
    </xdr:to>
    <xdr:graphicFrame macro="">
      <xdr:nvGraphicFramePr>
        <xdr:cNvPr id="2" name="Chart 1">
          <a:extLst>
            <a:ext uri="{FF2B5EF4-FFF2-40B4-BE49-F238E27FC236}">
              <a16:creationId xmlns:a16="http://schemas.microsoft.com/office/drawing/2014/main" id="{785375DA-9975-5B44-8E57-AB2765CB75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7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7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59.451707523149"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59.488989699072" missingItemsLimit="0" createdVersion="8" refreshedVersion="8" minRefreshableVersion="3" recordCount="1092" xr:uid="{204E2D03-FAC9-4772-AC70-B0CD6D0E5C19}">
  <cacheSource type="worksheet">
    <worksheetSource name="ets_test_and_training_data_Table"/>
  </cacheSource>
  <cacheFields count="15">
    <cacheField name="item" numFmtId="0">
      <sharedItems count="6">
        <s v="1.1_sin_flat_series"/>
        <s v="1.2_sin_trend_series"/>
        <s v="1.3_sin_trend_noise_series"/>
        <s v="2.1_dual_spikey_flat"/>
        <s v="2.2_dual_spikey_trend"/>
        <s v="2.3_dual_spikey_trend_noise"/>
      </sharedItems>
    </cacheField>
    <cacheField name="period" numFmtId="14">
      <sharedItems containsSemiMixedTypes="0" containsNonDate="0" containsDate="1" containsString="0" minDate="2022-01-09T00:00:00" maxDate="2025-06-30T00:00:00" count="182">
        <d v="2022-01-09T00:00:00"/>
        <d v="2022-01-16T00:00:00"/>
        <d v="2022-01-23T00:00:00"/>
        <d v="2022-01-30T00:00:00"/>
        <d v="2022-02-06T00:00:00"/>
        <d v="2022-02-13T00:00:00"/>
        <d v="2022-02-20T00:00:00"/>
        <d v="2022-02-27T00:00:00"/>
        <d v="2022-03-06T00:00:00"/>
        <d v="2022-03-13T00:00:00"/>
        <d v="2022-03-20T00:00:00"/>
        <d v="2022-03-27T00:00:00"/>
        <d v="2022-04-03T00:00:00"/>
        <d v="2022-04-10T00:00:00"/>
        <d v="2022-04-17T00:00:00"/>
        <d v="2022-04-24T00:00:00"/>
        <d v="2022-05-01T00:00:00"/>
        <d v="2022-05-08T00:00:00"/>
        <d v="2022-05-15T00:00:00"/>
        <d v="2022-05-22T00:00:00"/>
        <d v="2022-05-29T00:00:00"/>
        <d v="2022-06-05T00:00:00"/>
        <d v="2022-06-12T00:00:00"/>
        <d v="2022-06-19T00:00:00"/>
        <d v="2022-06-26T00:00:00"/>
        <d v="2022-07-03T00:00:00"/>
        <d v="2022-07-10T00:00:00"/>
        <d v="2022-07-17T00:00:00"/>
        <d v="2022-07-24T00:00:00"/>
        <d v="2022-07-31T00:00:00"/>
        <d v="2022-08-07T00:00:00"/>
        <d v="2022-08-14T00:00:00"/>
        <d v="2022-08-21T00:00:00"/>
        <d v="2022-08-28T00:00:00"/>
        <d v="2022-09-04T00:00:00"/>
        <d v="2022-09-11T00:00:00"/>
        <d v="2022-09-18T00:00:00"/>
        <d v="2022-09-25T00:00:00"/>
        <d v="2022-10-02T00:00:00"/>
        <d v="2022-10-09T00:00:00"/>
        <d v="2022-10-16T00:00:00"/>
        <d v="2022-10-23T00:00:00"/>
        <d v="2022-10-30T00:00:00"/>
        <d v="2022-11-06T00:00:00"/>
        <d v="2022-11-13T00:00:00"/>
        <d v="2022-11-20T00:00:00"/>
        <d v="2022-11-27T00:00:00"/>
        <d v="2022-12-04T00:00:00"/>
        <d v="2022-12-11T00:00:00"/>
        <d v="2022-12-18T00:00:00"/>
        <d v="2022-12-25T00:00:00"/>
        <d v="2023-01-01T00:00:00"/>
        <d v="2023-01-08T00:00:00"/>
        <d v="2023-01-15T00:00:00"/>
        <d v="2023-01-22T00:00:00"/>
        <d v="2023-01-29T00:00:00"/>
        <d v="2023-02-05T00:00:00"/>
        <d v="2023-02-12T00:00:00"/>
        <d v="2023-02-19T00:00:00"/>
        <d v="2023-02-26T00:00:00"/>
        <d v="2023-03-05T00:00:00"/>
        <d v="2023-03-12T00:00:00"/>
        <d v="2023-03-19T00:00:00"/>
        <d v="2023-03-26T00:00:00"/>
        <d v="2023-04-02T00:00:00"/>
        <d v="2023-04-09T00:00:00"/>
        <d v="2023-04-16T00:00:00"/>
        <d v="2023-04-23T00:00:00"/>
        <d v="2023-04-30T00:00:00"/>
        <d v="2023-05-07T00:00:00"/>
        <d v="2023-05-14T00:00:00"/>
        <d v="2023-05-21T00:00:00"/>
        <d v="2023-05-28T00:00:00"/>
        <d v="2023-06-04T00:00:00"/>
        <d v="2023-06-11T00:00:00"/>
        <d v="2023-06-18T00:00:00"/>
        <d v="2023-06-25T00:00:00"/>
        <d v="2023-07-02T00:00:00"/>
        <d v="2023-07-09T00:00:00"/>
        <d v="2023-07-16T00:00:00"/>
        <d v="2023-07-23T00:00:00"/>
        <d v="2023-07-30T00:00:00"/>
        <d v="2023-08-06T00:00:00"/>
        <d v="2023-08-13T00:00:00"/>
        <d v="2023-08-20T00:00:00"/>
        <d v="2023-08-27T00:00:00"/>
        <d v="2023-09-03T00:00:00"/>
        <d v="2023-09-10T00:00:00"/>
        <d v="2023-09-17T00:00:00"/>
        <d v="2023-09-24T00:00:00"/>
        <d v="2023-10-01T00:00:00"/>
        <d v="2023-10-08T00:00:00"/>
        <d v="2023-10-15T00:00:00"/>
        <d v="2023-10-22T00:00:00"/>
        <d v="2023-10-29T00:00:00"/>
        <d v="2023-11-05T00:00:00"/>
        <d v="2023-11-12T00:00:00"/>
        <d v="2023-11-19T00:00:00"/>
        <d v="2023-11-26T00:00:00"/>
        <d v="2023-12-03T00:00:00"/>
        <d v="2023-12-10T00:00:00"/>
        <d v="2023-12-17T00:00:00"/>
        <d v="2023-12-24T00:00:00"/>
        <d v="2023-12-31T00:00:00"/>
        <d v="2024-01-07T00:00:00"/>
        <d v="2024-01-14T00:00:00"/>
        <d v="2024-01-21T00:00:00"/>
        <d v="2024-01-28T00:00:00"/>
        <d v="2024-02-04T00:00:00"/>
        <d v="2024-02-11T00:00:00"/>
        <d v="2024-02-18T00:00:00"/>
        <d v="2024-02-25T00:00:00"/>
        <d v="2024-03-03T00:00:00"/>
        <d v="2024-03-10T00:00:00"/>
        <d v="2024-03-17T00:00:00"/>
        <d v="2024-03-24T00:00:00"/>
        <d v="2024-03-31T00:00:00"/>
        <d v="2024-04-07T00:00:00"/>
        <d v="2024-04-14T00:00:00"/>
        <d v="2024-04-21T00:00:00"/>
        <d v="2024-04-28T00:00:00"/>
        <d v="2024-05-05T00:00:00"/>
        <d v="2024-05-12T00:00:00"/>
        <d v="2024-05-19T00:00:00"/>
        <d v="2024-05-26T00:00:00"/>
        <d v="2024-06-02T00:00:00"/>
        <d v="2024-06-09T00:00:00"/>
        <d v="2024-06-16T00:00:00"/>
        <d v="2024-06-23T00:00:00"/>
        <d v="2024-06-30T00:00:00"/>
        <d v="2024-07-07T00:00:00"/>
        <d v="2024-07-14T00:00:00"/>
        <d v="2024-07-21T00:00:00"/>
        <d v="2024-07-28T00:00:00"/>
        <d v="2024-08-04T00:00:00"/>
        <d v="2024-08-11T00:00:00"/>
        <d v="2024-08-18T00:00:00"/>
        <d v="2024-08-25T00:00:00"/>
        <d v="2024-09-01T00:00:00"/>
        <d v="2024-09-08T00:00:00"/>
        <d v="2024-09-15T00:00:00"/>
        <d v="2024-09-22T00:00:00"/>
        <d v="2024-09-29T00:00:00"/>
        <d v="2024-10-06T00:00:00"/>
        <d v="2024-10-13T00:00:00"/>
        <d v="2024-10-20T00:00:00"/>
        <d v="2024-10-27T00:00:00"/>
        <d v="2024-11-03T00:00:00"/>
        <d v="2024-11-10T00:00:00"/>
        <d v="2024-11-17T00:00:00"/>
        <d v="2024-11-24T00:00:00"/>
        <d v="2024-12-01T00:00:00"/>
        <d v="2024-12-08T00:00:00"/>
        <d v="2024-12-15T00:00:00"/>
        <d v="2024-12-22T00:00:00"/>
        <d v="2024-12-29T00:00:00"/>
        <d v="2025-01-05T00:00:00"/>
        <d v="2025-01-12T00:00:00"/>
        <d v="2025-01-19T00:00:00"/>
        <d v="2025-01-26T00:00:00"/>
        <d v="2025-02-02T00:00:00"/>
        <d v="2025-02-09T00:00:00"/>
        <d v="2025-02-16T00:00:00"/>
        <d v="2025-02-23T00:00:00"/>
        <d v="2025-03-02T00:00:00"/>
        <d v="2025-03-09T00:00:00"/>
        <d v="2025-03-16T00:00:00"/>
        <d v="2025-03-23T00:00:00"/>
        <d v="2025-03-30T00:00:00"/>
        <d v="2025-04-06T00:00:00"/>
        <d v="2025-04-13T00:00:00"/>
        <d v="2025-04-20T00:00:00"/>
        <d v="2025-04-27T00:00:00"/>
        <d v="2025-05-04T00:00:00"/>
        <d v="2025-05-11T00:00:00"/>
        <d v="2025-05-18T00:00:00"/>
        <d v="2025-05-25T00:00:00"/>
        <d v="2025-06-01T00:00:00"/>
        <d v="2025-06-08T00:00:00"/>
        <d v="2025-06-15T00:00:00"/>
        <d v="2025-06-22T00:00:00"/>
        <d v="2025-06-29T00:00:00"/>
      </sharedItems>
    </cacheField>
    <cacheField name="quantity" numFmtId="0">
      <sharedItems containsSemiMixedTypes="0" containsString="0" containsNumber="1" minValue="0" maxValue="314.32377496500806"/>
    </cacheField>
    <cacheField name="demand_quantity" numFmtId="0">
      <sharedItems containsString="0" containsBlank="1" containsNumber="1" minValue="0" maxValue="314.32377496500806"/>
    </cacheField>
    <cacheField name="actual_quantity" numFmtId="0">
      <sharedItems containsString="0" containsBlank="1" containsNumber="1" minValue="1.5743470324030682" maxValue="253.54069458268509"/>
    </cacheField>
    <cacheField name="statsmodel_forecast" numFmtId="0">
      <sharedItems containsString="0" containsBlank="1" containsNumber="1" minValue="59.224409182287602" maxValue="228.03637435345883"/>
    </cacheField>
    <cacheField name="moving_average" numFmtId="0">
      <sharedItems containsMixedTypes="1" containsNumber="1" minValue="44.432414628996099" maxValue="221.29704075243794"/>
    </cacheField>
    <cacheField name="FirstRow" numFmtId="0">
      <sharedItems containsSemiMixedTypes="0" containsString="0" containsNumber="1" containsInteger="1" minValue="11" maxValue="921"/>
    </cacheField>
    <cacheField name="RowCount" numFmtId="0">
      <sharedItems containsMixedTypes="1" containsNumber="1" containsInteger="1" minValue="1" maxValue="156"/>
    </cacheField>
    <cacheField name="LastRow" numFmtId="0">
      <sharedItems containsSemiMixedTypes="0" containsString="0" containsNumber="1" containsInteger="1" minValue="11" maxValue="1076"/>
    </cacheField>
    <cacheField name="PrevPeriodRow" numFmtId="0">
      <sharedItems containsSemiMixedTypes="0" containsString="0" containsNumber="1" containsInteger="1" minValue="10" maxValue="1101"/>
    </cacheField>
    <cacheField name="excel_ets" numFmtId="0">
      <sharedItems containsMixedTypes="1" containsNumber="1" minValue="4.8040699197675565" maxValue="236.75139920835989"/>
    </cacheField>
    <cacheField name="excel_ets_ae" numFmtId="0">
      <sharedItems containsMixedTypes="1" containsNumber="1" minValue="0" maxValue="196.43840531594594"/>
    </cacheField>
    <cacheField name="statsmodels_ets_ae" numFmtId="0">
      <sharedItems containsMixedTypes="1" containsNumber="1" minValue="0" maxValue="129.79525405507545"/>
    </cacheField>
    <cacheField name="moving_average_ae" numFmtId="0">
      <sharedItems containsMixedTypes="1" containsNumber="1" minValue="2.2580749057965477E-4" maxValue="165.90946641386213"/>
    </cacheField>
  </cacheFields>
  <extLst>
    <ext xmlns:x14="http://schemas.microsoft.com/office/spreadsheetml/2009/9/main" uri="{725AE2AE-9491-48be-B2B4-4EB974FC3084}">
      <x14:pivotCacheDefinition pivotCacheId="14435009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L:\P-S_Test\Data"/>
  </r>
  <r>
    <s v="PARA_FilePath_Archive"/>
    <s v="C:\P-S_Test\Archive"/>
  </r>
  <r>
    <s v="PARA_FilePath_Data_Local"/>
    <s v="C:\P-S_Test\Data"/>
  </r>
  <r>
    <s v="PARA_FilePath_Input_Local"/>
    <s v="C:\P-S_Test\Input"/>
  </r>
  <r>
    <s v="PARA_FilePath_Modules"/>
    <s v="C:\P-S_Test"/>
  </r>
  <r>
    <s v="PARA_Keep_Query_Data"/>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2">
  <r>
    <x v="0"/>
    <x v="0"/>
    <n v="100"/>
    <n v="100"/>
    <m/>
    <m/>
    <e v="#N/A"/>
    <n v="11"/>
    <n v="1"/>
    <n v="11"/>
    <n v="10"/>
    <e v="#N/A"/>
    <s v=""/>
    <s v=""/>
    <s v=""/>
  </r>
  <r>
    <x v="0"/>
    <x v="1"/>
    <n v="102.41073360510646"/>
    <n v="102.41073360510646"/>
    <m/>
    <m/>
    <e v="#N/A"/>
    <n v="11"/>
    <n v="2"/>
    <n v="12"/>
    <n v="11"/>
    <e v="#N/A"/>
    <s v=""/>
    <s v=""/>
    <s v=""/>
  </r>
  <r>
    <x v="0"/>
    <x v="2"/>
    <n v="104.78631328575115"/>
    <n v="104.78631328575115"/>
    <m/>
    <m/>
    <e v="#N/A"/>
    <n v="11"/>
    <n v="3"/>
    <n v="13"/>
    <n v="12"/>
    <e v="#N/A"/>
    <s v=""/>
    <s v=""/>
    <s v=""/>
  </r>
  <r>
    <x v="0"/>
    <x v="3"/>
    <n v="107.09209774085072"/>
    <n v="107.09209774085072"/>
    <m/>
    <m/>
    <e v="#N/A"/>
    <n v="11"/>
    <n v="4"/>
    <n v="14"/>
    <n v="13"/>
    <e v="#N/A"/>
    <s v=""/>
    <s v=""/>
    <s v=""/>
  </r>
  <r>
    <x v="0"/>
    <x v="4"/>
    <n v="109.29446344087538"/>
    <n v="109.29446344087538"/>
    <m/>
    <m/>
    <e v="#N/A"/>
    <n v="11"/>
    <n v="5"/>
    <n v="15"/>
    <n v="14"/>
    <e v="#N/A"/>
    <s v=""/>
    <s v=""/>
    <s v=""/>
  </r>
  <r>
    <x v="0"/>
    <x v="5"/>
    <n v="111.36129493462312"/>
    <n v="111.36129493462312"/>
    <m/>
    <m/>
    <e v="#N/A"/>
    <n v="11"/>
    <n v="6"/>
    <n v="16"/>
    <n v="15"/>
    <e v="#N/A"/>
    <s v=""/>
    <s v=""/>
    <s v=""/>
  </r>
  <r>
    <x v="0"/>
    <x v="6"/>
    <n v="113.26245316481591"/>
    <n v="113.26245316481591"/>
    <m/>
    <m/>
    <e v="#N/A"/>
    <n v="11"/>
    <n v="7"/>
    <n v="17"/>
    <n v="16"/>
    <e v="#N/A"/>
    <s v=""/>
    <s v=""/>
    <s v=""/>
  </r>
  <r>
    <x v="0"/>
    <x v="7"/>
    <n v="114.97021496342202"/>
    <n v="114.97021496342202"/>
    <m/>
    <m/>
    <e v="#N/A"/>
    <n v="11"/>
    <n v="8"/>
    <n v="18"/>
    <n v="17"/>
    <e v="#N/A"/>
    <s v=""/>
    <s v=""/>
    <s v=""/>
  </r>
  <r>
    <x v="0"/>
    <x v="8"/>
    <n v="116.45967731787313"/>
    <n v="116.45967731787313"/>
    <m/>
    <m/>
    <e v="#N/A"/>
    <n v="11"/>
    <n v="9"/>
    <n v="19"/>
    <n v="18"/>
    <e v="#N/A"/>
    <s v=""/>
    <s v=""/>
    <s v=""/>
  </r>
  <r>
    <x v="0"/>
    <x v="9"/>
    <n v="117.70912051306419"/>
    <n v="117.70912051306419"/>
    <m/>
    <m/>
    <e v="#N/A"/>
    <n v="11"/>
    <n v="10"/>
    <n v="20"/>
    <n v="19"/>
    <e v="#N/A"/>
    <s v=""/>
    <s v=""/>
    <s v=""/>
  </r>
  <r>
    <x v="0"/>
    <x v="10"/>
    <n v="118.7003248537083"/>
    <n v="118.7003248537083"/>
    <m/>
    <m/>
    <e v="#N/A"/>
    <n v="11"/>
    <n v="11"/>
    <n v="21"/>
    <n v="20"/>
    <e v="#N/A"/>
    <s v=""/>
    <s v=""/>
    <s v=""/>
  </r>
  <r>
    <x v="0"/>
    <x v="11"/>
    <n v="119.41883634852104"/>
    <n v="119.41883634852104"/>
    <m/>
    <m/>
    <e v="#N/A"/>
    <n v="11"/>
    <n v="12"/>
    <n v="22"/>
    <n v="21"/>
    <e v="#N/A"/>
    <s v=""/>
    <s v=""/>
    <s v=""/>
  </r>
  <r>
    <x v="0"/>
    <x v="12"/>
    <n v="119.85417748196107"/>
    <n v="119.85417748196107"/>
    <m/>
    <m/>
    <e v="#N/A"/>
    <n v="11"/>
    <n v="13"/>
    <n v="23"/>
    <n v="22"/>
    <e v="#N/A"/>
    <s v=""/>
    <s v=""/>
    <s v=""/>
  </r>
  <r>
    <x v="0"/>
    <x v="13"/>
    <n v="120"/>
    <n v="120"/>
    <m/>
    <m/>
    <e v="#N/A"/>
    <n v="11"/>
    <n v="14"/>
    <n v="24"/>
    <n v="23"/>
    <e v="#N/A"/>
    <s v=""/>
    <s v=""/>
    <s v=""/>
  </r>
  <r>
    <x v="0"/>
    <x v="14"/>
    <n v="119.85417748196107"/>
    <n v="119.85417748196107"/>
    <m/>
    <m/>
    <e v="#N/A"/>
    <n v="11"/>
    <n v="15"/>
    <n v="25"/>
    <n v="24"/>
    <e v="#N/A"/>
    <s v=""/>
    <s v=""/>
    <s v=""/>
  </r>
  <r>
    <x v="0"/>
    <x v="15"/>
    <n v="119.41883634852104"/>
    <n v="119.41883634852104"/>
    <m/>
    <m/>
    <e v="#N/A"/>
    <n v="11"/>
    <n v="16"/>
    <n v="26"/>
    <n v="25"/>
    <e v="#N/A"/>
    <s v=""/>
    <s v=""/>
    <s v=""/>
  </r>
  <r>
    <x v="0"/>
    <x v="16"/>
    <n v="118.7003248537083"/>
    <n v="118.7003248537083"/>
    <m/>
    <m/>
    <e v="#N/A"/>
    <n v="11"/>
    <n v="17"/>
    <n v="27"/>
    <n v="26"/>
    <e v="#N/A"/>
    <s v=""/>
    <s v=""/>
    <s v=""/>
  </r>
  <r>
    <x v="0"/>
    <x v="17"/>
    <n v="117.70912051306419"/>
    <n v="117.70912051306419"/>
    <m/>
    <m/>
    <e v="#N/A"/>
    <n v="11"/>
    <n v="18"/>
    <n v="28"/>
    <n v="27"/>
    <e v="#N/A"/>
    <s v=""/>
    <s v=""/>
    <s v=""/>
  </r>
  <r>
    <x v="0"/>
    <x v="18"/>
    <n v="116.45967731787313"/>
    <n v="116.45967731787313"/>
    <m/>
    <m/>
    <e v="#N/A"/>
    <n v="11"/>
    <n v="19"/>
    <n v="29"/>
    <n v="28"/>
    <e v="#N/A"/>
    <s v=""/>
    <s v=""/>
    <s v=""/>
  </r>
  <r>
    <x v="0"/>
    <x v="19"/>
    <n v="114.97021496342202"/>
    <n v="114.97021496342202"/>
    <m/>
    <m/>
    <e v="#N/A"/>
    <n v="11"/>
    <n v="20"/>
    <n v="30"/>
    <n v="29"/>
    <e v="#N/A"/>
    <s v=""/>
    <s v=""/>
    <s v=""/>
  </r>
  <r>
    <x v="0"/>
    <x v="20"/>
    <n v="113.26245316481591"/>
    <n v="113.26245316481591"/>
    <m/>
    <m/>
    <e v="#N/A"/>
    <n v="11"/>
    <n v="21"/>
    <n v="31"/>
    <n v="30"/>
    <e v="#N/A"/>
    <s v=""/>
    <s v=""/>
    <s v=""/>
  </r>
  <r>
    <x v="0"/>
    <x v="21"/>
    <n v="111.36129493462312"/>
    <n v="111.36129493462312"/>
    <m/>
    <m/>
    <e v="#N/A"/>
    <n v="11"/>
    <n v="22"/>
    <n v="32"/>
    <n v="31"/>
    <e v="#N/A"/>
    <s v=""/>
    <s v=""/>
    <s v=""/>
  </r>
  <r>
    <x v="0"/>
    <x v="22"/>
    <n v="109.29446344087538"/>
    <n v="109.29446344087538"/>
    <m/>
    <m/>
    <e v="#N/A"/>
    <n v="11"/>
    <n v="23"/>
    <n v="33"/>
    <n v="32"/>
    <e v="#N/A"/>
    <s v=""/>
    <s v=""/>
    <s v=""/>
  </r>
  <r>
    <x v="0"/>
    <x v="23"/>
    <n v="107.09209774085072"/>
    <n v="107.09209774085072"/>
    <m/>
    <m/>
    <e v="#N/A"/>
    <n v="11"/>
    <n v="24"/>
    <n v="34"/>
    <n v="33"/>
    <e v="#N/A"/>
    <s v=""/>
    <s v=""/>
    <s v=""/>
  </r>
  <r>
    <x v="0"/>
    <x v="24"/>
    <n v="104.78631328575115"/>
    <n v="104.78631328575115"/>
    <m/>
    <m/>
    <e v="#N/A"/>
    <n v="11"/>
    <n v="25"/>
    <n v="35"/>
    <n v="34"/>
    <e v="#N/A"/>
    <s v=""/>
    <s v=""/>
    <s v=""/>
  </r>
  <r>
    <x v="0"/>
    <x v="25"/>
    <n v="102.41073360510646"/>
    <n v="102.41073360510646"/>
    <m/>
    <m/>
    <e v="#N/A"/>
    <n v="11"/>
    <n v="26"/>
    <n v="36"/>
    <n v="35"/>
    <e v="#N/A"/>
    <s v=""/>
    <s v=""/>
    <s v=""/>
  </r>
  <r>
    <x v="0"/>
    <x v="26"/>
    <n v="100"/>
    <n v="100"/>
    <m/>
    <m/>
    <e v="#N/A"/>
    <n v="11"/>
    <n v="27"/>
    <n v="37"/>
    <n v="36"/>
    <e v="#N/A"/>
    <s v=""/>
    <s v=""/>
    <s v=""/>
  </r>
  <r>
    <x v="0"/>
    <x v="27"/>
    <n v="97.589266394893542"/>
    <n v="97.589266394893542"/>
    <m/>
    <m/>
    <e v="#N/A"/>
    <n v="11"/>
    <n v="28"/>
    <n v="38"/>
    <n v="37"/>
    <e v="#N/A"/>
    <s v=""/>
    <s v=""/>
    <s v=""/>
  </r>
  <r>
    <x v="0"/>
    <x v="28"/>
    <n v="95.213686714248851"/>
    <n v="95.213686714248851"/>
    <m/>
    <m/>
    <e v="#N/A"/>
    <n v="11"/>
    <n v="29"/>
    <n v="39"/>
    <n v="38"/>
    <e v="#N/A"/>
    <s v=""/>
    <s v=""/>
    <s v=""/>
  </r>
  <r>
    <x v="0"/>
    <x v="29"/>
    <n v="92.907902259149282"/>
    <n v="92.907902259149282"/>
    <m/>
    <m/>
    <e v="#N/A"/>
    <n v="11"/>
    <n v="30"/>
    <n v="40"/>
    <n v="39"/>
    <e v="#N/A"/>
    <s v=""/>
    <s v=""/>
    <s v=""/>
  </r>
  <r>
    <x v="0"/>
    <x v="30"/>
    <n v="90.705536559124639"/>
    <n v="90.705536559124639"/>
    <m/>
    <m/>
    <e v="#N/A"/>
    <n v="11"/>
    <n v="31"/>
    <n v="41"/>
    <n v="40"/>
    <e v="#N/A"/>
    <s v=""/>
    <s v=""/>
    <s v=""/>
  </r>
  <r>
    <x v="0"/>
    <x v="31"/>
    <n v="88.638705065376882"/>
    <n v="88.638705065376882"/>
    <m/>
    <m/>
    <e v="#N/A"/>
    <n v="11"/>
    <n v="32"/>
    <n v="42"/>
    <n v="41"/>
    <e v="#N/A"/>
    <s v=""/>
    <s v=""/>
    <s v=""/>
  </r>
  <r>
    <x v="0"/>
    <x v="32"/>
    <n v="86.737546835184105"/>
    <n v="86.737546835184105"/>
    <m/>
    <m/>
    <e v="#N/A"/>
    <n v="11"/>
    <n v="33"/>
    <n v="43"/>
    <n v="42"/>
    <e v="#N/A"/>
    <s v=""/>
    <s v=""/>
    <s v=""/>
  </r>
  <r>
    <x v="0"/>
    <x v="33"/>
    <n v="85.029785036577977"/>
    <n v="85.029785036577977"/>
    <m/>
    <m/>
    <e v="#N/A"/>
    <n v="11"/>
    <n v="34"/>
    <n v="44"/>
    <n v="43"/>
    <e v="#N/A"/>
    <s v=""/>
    <s v=""/>
    <s v=""/>
  </r>
  <r>
    <x v="0"/>
    <x v="34"/>
    <n v="83.54032268212687"/>
    <n v="83.54032268212687"/>
    <m/>
    <m/>
    <e v="#N/A"/>
    <n v="11"/>
    <n v="35"/>
    <n v="45"/>
    <n v="44"/>
    <e v="#N/A"/>
    <s v=""/>
    <s v=""/>
    <s v=""/>
  </r>
  <r>
    <x v="0"/>
    <x v="35"/>
    <n v="82.290879486935808"/>
    <n v="82.290879486935808"/>
    <m/>
    <m/>
    <e v="#N/A"/>
    <n v="11"/>
    <n v="36"/>
    <n v="46"/>
    <n v="45"/>
    <e v="#N/A"/>
    <s v=""/>
    <s v=""/>
    <s v=""/>
  </r>
  <r>
    <x v="0"/>
    <x v="36"/>
    <n v="81.299675146291705"/>
    <n v="81.299675146291705"/>
    <m/>
    <m/>
    <e v="#N/A"/>
    <n v="11"/>
    <n v="37"/>
    <n v="47"/>
    <n v="46"/>
    <e v="#N/A"/>
    <s v=""/>
    <s v=""/>
    <s v=""/>
  </r>
  <r>
    <x v="0"/>
    <x v="37"/>
    <n v="80.58116365147896"/>
    <n v="80.58116365147896"/>
    <m/>
    <m/>
    <e v="#N/A"/>
    <n v="11"/>
    <n v="38"/>
    <n v="48"/>
    <n v="47"/>
    <e v="#N/A"/>
    <s v=""/>
    <s v=""/>
    <s v=""/>
  </r>
  <r>
    <x v="0"/>
    <x v="38"/>
    <n v="80.145822518038926"/>
    <n v="80.145822518038926"/>
    <m/>
    <m/>
    <e v="#N/A"/>
    <n v="11"/>
    <n v="39"/>
    <n v="49"/>
    <n v="48"/>
    <e v="#N/A"/>
    <s v=""/>
    <s v=""/>
    <s v=""/>
  </r>
  <r>
    <x v="0"/>
    <x v="39"/>
    <n v="80"/>
    <n v="80"/>
    <m/>
    <m/>
    <e v="#N/A"/>
    <n v="11"/>
    <n v="40"/>
    <n v="50"/>
    <n v="49"/>
    <e v="#N/A"/>
    <s v=""/>
    <s v=""/>
    <s v=""/>
  </r>
  <r>
    <x v="0"/>
    <x v="40"/>
    <n v="80.145822518038926"/>
    <n v="80.145822518038926"/>
    <m/>
    <m/>
    <e v="#N/A"/>
    <n v="11"/>
    <n v="41"/>
    <n v="51"/>
    <n v="50"/>
    <e v="#N/A"/>
    <s v=""/>
    <s v=""/>
    <s v=""/>
  </r>
  <r>
    <x v="0"/>
    <x v="41"/>
    <n v="80.58116365147896"/>
    <n v="80.58116365147896"/>
    <m/>
    <m/>
    <e v="#N/A"/>
    <n v="11"/>
    <n v="42"/>
    <n v="52"/>
    <n v="51"/>
    <e v="#N/A"/>
    <s v=""/>
    <s v=""/>
    <s v=""/>
  </r>
  <r>
    <x v="0"/>
    <x v="42"/>
    <n v="81.299675146291705"/>
    <n v="81.299675146291705"/>
    <m/>
    <m/>
    <e v="#N/A"/>
    <n v="11"/>
    <n v="43"/>
    <n v="53"/>
    <n v="52"/>
    <e v="#N/A"/>
    <s v=""/>
    <s v=""/>
    <s v=""/>
  </r>
  <r>
    <x v="0"/>
    <x v="43"/>
    <n v="82.290879486935793"/>
    <n v="82.290879486935793"/>
    <m/>
    <m/>
    <e v="#N/A"/>
    <n v="11"/>
    <n v="44"/>
    <n v="54"/>
    <n v="53"/>
    <e v="#N/A"/>
    <s v=""/>
    <s v=""/>
    <s v=""/>
  </r>
  <r>
    <x v="0"/>
    <x v="44"/>
    <n v="83.540322682126856"/>
    <n v="83.540322682126856"/>
    <m/>
    <m/>
    <e v="#N/A"/>
    <n v="11"/>
    <n v="45"/>
    <n v="55"/>
    <n v="54"/>
    <e v="#N/A"/>
    <s v=""/>
    <s v=""/>
    <s v=""/>
  </r>
  <r>
    <x v="0"/>
    <x v="45"/>
    <n v="85.029785036577977"/>
    <n v="85.029785036577977"/>
    <m/>
    <m/>
    <e v="#N/A"/>
    <n v="11"/>
    <n v="46"/>
    <n v="56"/>
    <n v="55"/>
    <e v="#N/A"/>
    <s v=""/>
    <s v=""/>
    <s v=""/>
  </r>
  <r>
    <x v="0"/>
    <x v="46"/>
    <n v="86.737546835184091"/>
    <n v="86.737546835184091"/>
    <m/>
    <m/>
    <e v="#N/A"/>
    <n v="11"/>
    <n v="47"/>
    <n v="57"/>
    <n v="56"/>
    <e v="#N/A"/>
    <s v=""/>
    <s v=""/>
    <s v=""/>
  </r>
  <r>
    <x v="0"/>
    <x v="47"/>
    <n v="88.638705065376882"/>
    <n v="88.638705065376882"/>
    <m/>
    <m/>
    <e v="#N/A"/>
    <n v="11"/>
    <n v="48"/>
    <n v="58"/>
    <n v="57"/>
    <e v="#N/A"/>
    <s v=""/>
    <s v=""/>
    <s v=""/>
  </r>
  <r>
    <x v="0"/>
    <x v="48"/>
    <n v="90.705536559124624"/>
    <n v="90.705536559124624"/>
    <m/>
    <m/>
    <e v="#N/A"/>
    <n v="11"/>
    <n v="49"/>
    <n v="59"/>
    <n v="58"/>
    <e v="#N/A"/>
    <s v=""/>
    <s v=""/>
    <s v=""/>
  </r>
  <r>
    <x v="0"/>
    <x v="49"/>
    <n v="92.907902259149282"/>
    <n v="92.907902259149282"/>
    <m/>
    <m/>
    <e v="#N/A"/>
    <n v="11"/>
    <n v="50"/>
    <n v="60"/>
    <n v="59"/>
    <e v="#N/A"/>
    <s v=""/>
    <s v=""/>
    <s v=""/>
  </r>
  <r>
    <x v="0"/>
    <x v="50"/>
    <n v="95.213686714248837"/>
    <n v="95.213686714248837"/>
    <m/>
    <m/>
    <e v="#N/A"/>
    <n v="11"/>
    <n v="51"/>
    <n v="61"/>
    <n v="60"/>
    <e v="#N/A"/>
    <s v=""/>
    <s v=""/>
    <s v=""/>
  </r>
  <r>
    <x v="0"/>
    <x v="51"/>
    <n v="97.589266394893528"/>
    <n v="97.589266394893528"/>
    <m/>
    <m/>
    <e v="#N/A"/>
    <n v="11"/>
    <n v="52"/>
    <n v="62"/>
    <n v="61"/>
    <e v="#N/A"/>
    <s v=""/>
    <s v=""/>
    <s v=""/>
  </r>
  <r>
    <x v="0"/>
    <x v="52"/>
    <n v="100.00000000000001"/>
    <n v="100.00000000000001"/>
    <m/>
    <m/>
    <e v="#N/A"/>
    <n v="11"/>
    <n v="53"/>
    <n v="63"/>
    <n v="62"/>
    <e v="#N/A"/>
    <s v=""/>
    <s v=""/>
    <s v=""/>
  </r>
  <r>
    <x v="0"/>
    <x v="53"/>
    <n v="102.41073360510646"/>
    <n v="102.41073360510646"/>
    <m/>
    <m/>
    <e v="#N/A"/>
    <n v="11"/>
    <n v="54"/>
    <n v="64"/>
    <n v="63"/>
    <e v="#N/A"/>
    <s v=""/>
    <s v=""/>
    <s v=""/>
  </r>
  <r>
    <x v="0"/>
    <x v="54"/>
    <n v="104.78631328575115"/>
    <n v="104.78631328575115"/>
    <m/>
    <m/>
    <e v="#N/A"/>
    <n v="11"/>
    <n v="55"/>
    <n v="65"/>
    <n v="64"/>
    <e v="#N/A"/>
    <s v=""/>
    <s v=""/>
    <s v=""/>
  </r>
  <r>
    <x v="0"/>
    <x v="55"/>
    <n v="107.0920977408507"/>
    <n v="107.0920977408507"/>
    <m/>
    <m/>
    <e v="#N/A"/>
    <n v="11"/>
    <n v="56"/>
    <n v="66"/>
    <n v="65"/>
    <e v="#N/A"/>
    <s v=""/>
    <s v=""/>
    <s v=""/>
  </r>
  <r>
    <x v="0"/>
    <x v="56"/>
    <n v="109.29446344087536"/>
    <n v="109.29446344087536"/>
    <m/>
    <m/>
    <e v="#N/A"/>
    <n v="11"/>
    <n v="57"/>
    <n v="67"/>
    <n v="66"/>
    <e v="#N/A"/>
    <s v=""/>
    <s v=""/>
    <s v=""/>
  </r>
  <r>
    <x v="0"/>
    <x v="57"/>
    <n v="111.36129493462312"/>
    <n v="111.36129493462312"/>
    <m/>
    <m/>
    <e v="#N/A"/>
    <n v="11"/>
    <n v="58"/>
    <n v="68"/>
    <n v="67"/>
    <e v="#N/A"/>
    <s v=""/>
    <s v=""/>
    <s v=""/>
  </r>
  <r>
    <x v="0"/>
    <x v="58"/>
    <n v="113.26245316481591"/>
    <n v="113.26245316481591"/>
    <m/>
    <m/>
    <e v="#N/A"/>
    <n v="11"/>
    <n v="59"/>
    <n v="69"/>
    <n v="68"/>
    <e v="#N/A"/>
    <s v=""/>
    <s v=""/>
    <s v=""/>
  </r>
  <r>
    <x v="0"/>
    <x v="59"/>
    <n v="114.97021496342201"/>
    <n v="114.97021496342201"/>
    <m/>
    <m/>
    <e v="#N/A"/>
    <n v="11"/>
    <n v="60"/>
    <n v="70"/>
    <n v="69"/>
    <e v="#N/A"/>
    <s v=""/>
    <s v=""/>
    <s v=""/>
  </r>
  <r>
    <x v="0"/>
    <x v="60"/>
    <n v="116.45967731787312"/>
    <n v="116.45967731787312"/>
    <m/>
    <m/>
    <e v="#N/A"/>
    <n v="11"/>
    <n v="61"/>
    <n v="71"/>
    <n v="70"/>
    <e v="#N/A"/>
    <s v=""/>
    <s v=""/>
    <s v=""/>
  </r>
  <r>
    <x v="0"/>
    <x v="61"/>
    <n v="117.70912051306419"/>
    <n v="117.70912051306419"/>
    <m/>
    <m/>
    <e v="#N/A"/>
    <n v="11"/>
    <n v="62"/>
    <n v="72"/>
    <n v="71"/>
    <e v="#N/A"/>
    <s v=""/>
    <s v=""/>
    <s v=""/>
  </r>
  <r>
    <x v="0"/>
    <x v="62"/>
    <n v="118.7003248537083"/>
    <n v="118.7003248537083"/>
    <m/>
    <m/>
    <e v="#N/A"/>
    <n v="11"/>
    <n v="63"/>
    <n v="73"/>
    <n v="72"/>
    <e v="#N/A"/>
    <s v=""/>
    <s v=""/>
    <s v=""/>
  </r>
  <r>
    <x v="0"/>
    <x v="63"/>
    <n v="119.41883634852104"/>
    <n v="119.41883634852104"/>
    <m/>
    <m/>
    <e v="#N/A"/>
    <n v="11"/>
    <n v="64"/>
    <n v="74"/>
    <n v="73"/>
    <e v="#N/A"/>
    <s v=""/>
    <s v=""/>
    <s v=""/>
  </r>
  <r>
    <x v="0"/>
    <x v="64"/>
    <n v="119.85417748196107"/>
    <n v="119.85417748196107"/>
    <m/>
    <m/>
    <e v="#N/A"/>
    <n v="11"/>
    <n v="65"/>
    <n v="75"/>
    <n v="74"/>
    <e v="#N/A"/>
    <s v=""/>
    <s v=""/>
    <s v=""/>
  </r>
  <r>
    <x v="0"/>
    <x v="65"/>
    <n v="120"/>
    <n v="120"/>
    <m/>
    <m/>
    <e v="#N/A"/>
    <n v="11"/>
    <n v="66"/>
    <n v="76"/>
    <n v="75"/>
    <e v="#N/A"/>
    <s v=""/>
    <s v=""/>
    <s v=""/>
  </r>
  <r>
    <x v="0"/>
    <x v="66"/>
    <n v="119.85417748196107"/>
    <n v="119.85417748196107"/>
    <m/>
    <m/>
    <e v="#N/A"/>
    <n v="11"/>
    <n v="67"/>
    <n v="77"/>
    <n v="76"/>
    <e v="#N/A"/>
    <s v=""/>
    <s v=""/>
    <s v=""/>
  </r>
  <r>
    <x v="0"/>
    <x v="67"/>
    <n v="119.41883634852104"/>
    <n v="119.41883634852104"/>
    <m/>
    <m/>
    <e v="#N/A"/>
    <n v="11"/>
    <n v="68"/>
    <n v="78"/>
    <n v="77"/>
    <e v="#N/A"/>
    <s v=""/>
    <s v=""/>
    <s v=""/>
  </r>
  <r>
    <x v="0"/>
    <x v="68"/>
    <n v="118.7003248537083"/>
    <n v="118.7003248537083"/>
    <m/>
    <m/>
    <e v="#N/A"/>
    <n v="11"/>
    <n v="69"/>
    <n v="79"/>
    <n v="78"/>
    <e v="#N/A"/>
    <s v=""/>
    <s v=""/>
    <s v=""/>
  </r>
  <r>
    <x v="0"/>
    <x v="69"/>
    <n v="117.70912051306421"/>
    <n v="117.70912051306421"/>
    <m/>
    <m/>
    <e v="#N/A"/>
    <n v="11"/>
    <n v="70"/>
    <n v="80"/>
    <n v="79"/>
    <e v="#N/A"/>
    <s v=""/>
    <s v=""/>
    <s v=""/>
  </r>
  <r>
    <x v="0"/>
    <x v="70"/>
    <n v="116.45967731787314"/>
    <n v="116.45967731787314"/>
    <m/>
    <m/>
    <e v="#N/A"/>
    <n v="11"/>
    <n v="71"/>
    <n v="81"/>
    <n v="80"/>
    <e v="#N/A"/>
    <s v=""/>
    <s v=""/>
    <s v=""/>
  </r>
  <r>
    <x v="0"/>
    <x v="71"/>
    <n v="114.97021496342202"/>
    <n v="114.97021496342202"/>
    <m/>
    <m/>
    <e v="#N/A"/>
    <n v="11"/>
    <n v="72"/>
    <n v="82"/>
    <n v="81"/>
    <e v="#N/A"/>
    <s v=""/>
    <s v=""/>
    <s v=""/>
  </r>
  <r>
    <x v="0"/>
    <x v="72"/>
    <n v="113.26245316481591"/>
    <n v="113.26245316481591"/>
    <m/>
    <m/>
    <e v="#N/A"/>
    <n v="11"/>
    <n v="73"/>
    <n v="83"/>
    <n v="82"/>
    <e v="#N/A"/>
    <s v=""/>
    <s v=""/>
    <s v=""/>
  </r>
  <r>
    <x v="0"/>
    <x v="73"/>
    <n v="111.36129493462313"/>
    <n v="111.36129493462313"/>
    <m/>
    <m/>
    <e v="#N/A"/>
    <n v="11"/>
    <n v="74"/>
    <n v="84"/>
    <n v="83"/>
    <e v="#N/A"/>
    <s v=""/>
    <s v=""/>
    <s v=""/>
  </r>
  <r>
    <x v="0"/>
    <x v="74"/>
    <n v="109.29446344087538"/>
    <n v="109.29446344087538"/>
    <m/>
    <m/>
    <e v="#N/A"/>
    <n v="11"/>
    <n v="75"/>
    <n v="85"/>
    <n v="84"/>
    <e v="#N/A"/>
    <s v=""/>
    <s v=""/>
    <s v=""/>
  </r>
  <r>
    <x v="0"/>
    <x v="75"/>
    <n v="107.09209774085072"/>
    <n v="107.09209774085072"/>
    <m/>
    <m/>
    <e v="#N/A"/>
    <n v="11"/>
    <n v="76"/>
    <n v="86"/>
    <n v="85"/>
    <e v="#N/A"/>
    <s v=""/>
    <s v=""/>
    <s v=""/>
  </r>
  <r>
    <x v="0"/>
    <x v="76"/>
    <n v="104.78631328575118"/>
    <n v="104.78631328575118"/>
    <m/>
    <m/>
    <e v="#N/A"/>
    <n v="11"/>
    <n v="77"/>
    <n v="87"/>
    <n v="86"/>
    <e v="#N/A"/>
    <s v=""/>
    <s v=""/>
    <s v=""/>
  </r>
  <r>
    <x v="0"/>
    <x v="77"/>
    <n v="102.41073360510646"/>
    <n v="102.41073360510646"/>
    <m/>
    <m/>
    <e v="#N/A"/>
    <n v="11"/>
    <n v="78"/>
    <n v="88"/>
    <n v="87"/>
    <e v="#N/A"/>
    <s v=""/>
    <s v=""/>
    <s v=""/>
  </r>
  <r>
    <x v="0"/>
    <x v="78"/>
    <n v="100.00000000000001"/>
    <n v="100.00000000000001"/>
    <m/>
    <m/>
    <e v="#N/A"/>
    <n v="11"/>
    <n v="79"/>
    <n v="89"/>
    <n v="88"/>
    <e v="#N/A"/>
    <s v=""/>
    <s v=""/>
    <s v=""/>
  </r>
  <r>
    <x v="0"/>
    <x v="79"/>
    <n v="97.589266394893528"/>
    <n v="97.589266394893528"/>
    <m/>
    <m/>
    <e v="#N/A"/>
    <n v="11"/>
    <n v="80"/>
    <n v="90"/>
    <n v="89"/>
    <e v="#N/A"/>
    <s v=""/>
    <s v=""/>
    <s v=""/>
  </r>
  <r>
    <x v="0"/>
    <x v="80"/>
    <n v="95.213686714248837"/>
    <n v="95.213686714248837"/>
    <m/>
    <m/>
    <e v="#N/A"/>
    <n v="11"/>
    <n v="81"/>
    <n v="91"/>
    <n v="90"/>
    <e v="#N/A"/>
    <s v=""/>
    <s v=""/>
    <s v=""/>
  </r>
  <r>
    <x v="0"/>
    <x v="81"/>
    <n v="92.907902259149296"/>
    <n v="92.907902259149296"/>
    <m/>
    <m/>
    <e v="#N/A"/>
    <n v="11"/>
    <n v="82"/>
    <n v="92"/>
    <n v="91"/>
    <e v="#N/A"/>
    <s v=""/>
    <s v=""/>
    <s v=""/>
  </r>
  <r>
    <x v="0"/>
    <x v="82"/>
    <n v="90.705536559124639"/>
    <n v="90.705536559124639"/>
    <m/>
    <m/>
    <e v="#N/A"/>
    <n v="11"/>
    <n v="83"/>
    <n v="93"/>
    <n v="92"/>
    <e v="#N/A"/>
    <s v=""/>
    <s v=""/>
    <s v=""/>
  </r>
  <r>
    <x v="0"/>
    <x v="83"/>
    <n v="88.638705065376882"/>
    <n v="88.638705065376882"/>
    <m/>
    <m/>
    <e v="#N/A"/>
    <n v="11"/>
    <n v="84"/>
    <n v="94"/>
    <n v="93"/>
    <e v="#N/A"/>
    <s v=""/>
    <s v=""/>
    <s v=""/>
  </r>
  <r>
    <x v="0"/>
    <x v="84"/>
    <n v="86.737546835184105"/>
    <n v="86.737546835184105"/>
    <m/>
    <m/>
    <e v="#N/A"/>
    <n v="11"/>
    <n v="85"/>
    <n v="95"/>
    <n v="94"/>
    <e v="#N/A"/>
    <s v=""/>
    <s v=""/>
    <s v=""/>
  </r>
  <r>
    <x v="0"/>
    <x v="85"/>
    <n v="85.029785036577991"/>
    <n v="85.029785036577991"/>
    <m/>
    <m/>
    <e v="#N/A"/>
    <n v="11"/>
    <n v="86"/>
    <n v="96"/>
    <n v="95"/>
    <e v="#N/A"/>
    <s v=""/>
    <s v=""/>
    <s v=""/>
  </r>
  <r>
    <x v="0"/>
    <x v="86"/>
    <n v="83.540322682126885"/>
    <n v="83.540322682126885"/>
    <m/>
    <m/>
    <e v="#N/A"/>
    <n v="11"/>
    <n v="87"/>
    <n v="97"/>
    <n v="96"/>
    <e v="#N/A"/>
    <s v=""/>
    <s v=""/>
    <s v=""/>
  </r>
  <r>
    <x v="0"/>
    <x v="87"/>
    <n v="82.290879486935822"/>
    <n v="82.290879486935822"/>
    <m/>
    <m/>
    <e v="#N/A"/>
    <n v="11"/>
    <n v="88"/>
    <n v="98"/>
    <n v="97"/>
    <e v="#N/A"/>
    <s v=""/>
    <s v=""/>
    <s v=""/>
  </r>
  <r>
    <x v="0"/>
    <x v="88"/>
    <n v="81.299675146291719"/>
    <n v="81.299675146291719"/>
    <m/>
    <m/>
    <e v="#N/A"/>
    <n v="11"/>
    <n v="89"/>
    <n v="99"/>
    <n v="98"/>
    <e v="#N/A"/>
    <s v=""/>
    <s v=""/>
    <s v=""/>
  </r>
  <r>
    <x v="0"/>
    <x v="89"/>
    <n v="80.58116365147896"/>
    <n v="80.58116365147896"/>
    <m/>
    <m/>
    <e v="#N/A"/>
    <n v="11"/>
    <n v="90"/>
    <n v="100"/>
    <n v="99"/>
    <e v="#N/A"/>
    <s v=""/>
    <s v=""/>
    <s v=""/>
  </r>
  <r>
    <x v="0"/>
    <x v="90"/>
    <n v="80.145822518038926"/>
    <n v="80.145822518038926"/>
    <m/>
    <m/>
    <e v="#N/A"/>
    <n v="11"/>
    <n v="91"/>
    <n v="101"/>
    <n v="100"/>
    <e v="#N/A"/>
    <s v=""/>
    <s v=""/>
    <s v=""/>
  </r>
  <r>
    <x v="0"/>
    <x v="91"/>
    <n v="80"/>
    <n v="80"/>
    <m/>
    <m/>
    <e v="#N/A"/>
    <n v="11"/>
    <n v="92"/>
    <n v="102"/>
    <n v="101"/>
    <e v="#N/A"/>
    <s v=""/>
    <s v=""/>
    <s v=""/>
  </r>
  <r>
    <x v="0"/>
    <x v="92"/>
    <n v="80.145822518038926"/>
    <n v="80.145822518038926"/>
    <m/>
    <m/>
    <e v="#N/A"/>
    <n v="11"/>
    <n v="93"/>
    <n v="103"/>
    <n v="102"/>
    <e v="#N/A"/>
    <s v=""/>
    <s v=""/>
    <s v=""/>
  </r>
  <r>
    <x v="0"/>
    <x v="93"/>
    <n v="80.58116365147896"/>
    <n v="80.58116365147896"/>
    <m/>
    <m/>
    <e v="#N/A"/>
    <n v="11"/>
    <n v="94"/>
    <n v="104"/>
    <n v="103"/>
    <e v="#N/A"/>
    <s v=""/>
    <s v=""/>
    <s v=""/>
  </r>
  <r>
    <x v="0"/>
    <x v="94"/>
    <n v="81.299675146291705"/>
    <n v="81.299675146291705"/>
    <m/>
    <m/>
    <e v="#N/A"/>
    <n v="11"/>
    <n v="95"/>
    <n v="105"/>
    <n v="104"/>
    <e v="#N/A"/>
    <s v=""/>
    <s v=""/>
    <s v=""/>
  </r>
  <r>
    <x v="0"/>
    <x v="95"/>
    <n v="82.290879486935793"/>
    <n v="82.290879486935793"/>
    <m/>
    <m/>
    <e v="#N/A"/>
    <n v="11"/>
    <n v="96"/>
    <n v="106"/>
    <n v="105"/>
    <e v="#N/A"/>
    <s v=""/>
    <s v=""/>
    <s v=""/>
  </r>
  <r>
    <x v="0"/>
    <x v="96"/>
    <n v="83.54032268212687"/>
    <n v="83.54032268212687"/>
    <m/>
    <m/>
    <e v="#N/A"/>
    <n v="11"/>
    <n v="97"/>
    <n v="107"/>
    <n v="106"/>
    <e v="#N/A"/>
    <s v=""/>
    <s v=""/>
    <s v=""/>
  </r>
  <r>
    <x v="0"/>
    <x v="97"/>
    <n v="85.029785036577977"/>
    <n v="85.029785036577977"/>
    <m/>
    <m/>
    <e v="#N/A"/>
    <n v="11"/>
    <n v="98"/>
    <n v="108"/>
    <n v="107"/>
    <e v="#N/A"/>
    <s v=""/>
    <s v=""/>
    <s v=""/>
  </r>
  <r>
    <x v="0"/>
    <x v="98"/>
    <n v="86.737546835184091"/>
    <n v="86.737546835184091"/>
    <m/>
    <m/>
    <e v="#N/A"/>
    <n v="11"/>
    <n v="99"/>
    <n v="109"/>
    <n v="108"/>
    <e v="#N/A"/>
    <s v=""/>
    <s v=""/>
    <s v=""/>
  </r>
  <r>
    <x v="0"/>
    <x v="99"/>
    <n v="88.638705065376897"/>
    <n v="88.638705065376897"/>
    <m/>
    <m/>
    <e v="#N/A"/>
    <n v="11"/>
    <n v="100"/>
    <n v="110"/>
    <n v="109"/>
    <e v="#N/A"/>
    <s v=""/>
    <s v=""/>
    <s v=""/>
  </r>
  <r>
    <x v="0"/>
    <x v="100"/>
    <n v="90.705536559124624"/>
    <n v="90.705536559124624"/>
    <m/>
    <m/>
    <e v="#N/A"/>
    <n v="11"/>
    <n v="101"/>
    <n v="111"/>
    <n v="110"/>
    <e v="#N/A"/>
    <s v=""/>
    <s v=""/>
    <s v=""/>
  </r>
  <r>
    <x v="0"/>
    <x v="101"/>
    <n v="92.907902259149282"/>
    <n v="92.907902259149282"/>
    <m/>
    <m/>
    <e v="#N/A"/>
    <n v="11"/>
    <n v="102"/>
    <n v="112"/>
    <n v="111"/>
    <e v="#N/A"/>
    <s v=""/>
    <s v=""/>
    <s v=""/>
  </r>
  <r>
    <x v="0"/>
    <x v="102"/>
    <n v="95.213686714248823"/>
    <n v="95.213686714248823"/>
    <m/>
    <m/>
    <e v="#N/A"/>
    <n v="11"/>
    <n v="103"/>
    <n v="113"/>
    <n v="112"/>
    <e v="#N/A"/>
    <s v=""/>
    <s v=""/>
    <s v=""/>
  </r>
  <r>
    <x v="0"/>
    <x v="103"/>
    <n v="97.5892663948935"/>
    <n v="97.5892663948935"/>
    <m/>
    <m/>
    <e v="#N/A"/>
    <n v="11"/>
    <n v="104"/>
    <n v="114"/>
    <n v="113"/>
    <e v="#N/A"/>
    <s v=""/>
    <s v=""/>
    <s v=""/>
  </r>
  <r>
    <x v="0"/>
    <x v="104"/>
    <n v="100.00000000000003"/>
    <n v="100.00000000000003"/>
    <m/>
    <m/>
    <e v="#N/A"/>
    <n v="11"/>
    <n v="105"/>
    <n v="115"/>
    <n v="114"/>
    <e v="#N/A"/>
    <s v=""/>
    <s v=""/>
    <s v=""/>
  </r>
  <r>
    <x v="0"/>
    <x v="105"/>
    <n v="102.41073360510647"/>
    <n v="102.41073360510647"/>
    <m/>
    <m/>
    <e v="#N/A"/>
    <n v="11"/>
    <n v="106"/>
    <n v="116"/>
    <n v="115"/>
    <e v="#N/A"/>
    <s v=""/>
    <s v=""/>
    <s v=""/>
  </r>
  <r>
    <x v="0"/>
    <x v="106"/>
    <n v="104.78631328575116"/>
    <n v="104.78631328575116"/>
    <m/>
    <m/>
    <e v="#N/A"/>
    <n v="11"/>
    <n v="107"/>
    <n v="117"/>
    <n v="116"/>
    <e v="#N/A"/>
    <s v=""/>
    <s v=""/>
    <s v=""/>
  </r>
  <r>
    <x v="0"/>
    <x v="107"/>
    <n v="107.0920977408507"/>
    <n v="107.0920977408507"/>
    <m/>
    <m/>
    <e v="#N/A"/>
    <n v="11"/>
    <n v="108"/>
    <n v="118"/>
    <n v="117"/>
    <e v="#N/A"/>
    <s v=""/>
    <s v=""/>
    <s v=""/>
  </r>
  <r>
    <x v="0"/>
    <x v="108"/>
    <n v="109.29446344087535"/>
    <n v="109.29446344087535"/>
    <m/>
    <m/>
    <e v="#N/A"/>
    <n v="11"/>
    <n v="109"/>
    <n v="119"/>
    <n v="118"/>
    <e v="#N/A"/>
    <s v=""/>
    <s v=""/>
    <s v=""/>
  </r>
  <r>
    <x v="0"/>
    <x v="109"/>
    <n v="111.36129493462309"/>
    <n v="111.36129493462309"/>
    <m/>
    <m/>
    <e v="#N/A"/>
    <n v="11"/>
    <n v="110"/>
    <n v="120"/>
    <n v="119"/>
    <e v="#N/A"/>
    <s v=""/>
    <s v=""/>
    <s v=""/>
  </r>
  <r>
    <x v="0"/>
    <x v="110"/>
    <n v="113.26245316481589"/>
    <n v="113.26245316481589"/>
    <m/>
    <m/>
    <e v="#N/A"/>
    <n v="11"/>
    <n v="111"/>
    <n v="121"/>
    <n v="120"/>
    <e v="#N/A"/>
    <s v=""/>
    <s v=""/>
    <s v=""/>
  </r>
  <r>
    <x v="0"/>
    <x v="111"/>
    <n v="114.97021496342201"/>
    <n v="114.97021496342201"/>
    <m/>
    <m/>
    <e v="#N/A"/>
    <n v="11"/>
    <n v="112"/>
    <n v="122"/>
    <n v="121"/>
    <e v="#N/A"/>
    <s v=""/>
    <s v=""/>
    <s v=""/>
  </r>
  <r>
    <x v="0"/>
    <x v="112"/>
    <n v="116.45967731787312"/>
    <n v="116.45967731787312"/>
    <m/>
    <m/>
    <e v="#N/A"/>
    <n v="11"/>
    <n v="113"/>
    <n v="123"/>
    <n v="122"/>
    <e v="#N/A"/>
    <s v=""/>
    <s v=""/>
    <s v=""/>
  </r>
  <r>
    <x v="0"/>
    <x v="113"/>
    <n v="117.70912051306419"/>
    <n v="117.70912051306419"/>
    <m/>
    <m/>
    <e v="#N/A"/>
    <n v="11"/>
    <n v="114"/>
    <n v="124"/>
    <n v="123"/>
    <e v="#N/A"/>
    <s v=""/>
    <s v=""/>
    <s v=""/>
  </r>
  <r>
    <x v="0"/>
    <x v="114"/>
    <n v="118.7003248537083"/>
    <n v="118.7003248537083"/>
    <m/>
    <m/>
    <e v="#N/A"/>
    <n v="11"/>
    <n v="115"/>
    <n v="125"/>
    <n v="124"/>
    <e v="#N/A"/>
    <s v=""/>
    <s v=""/>
    <s v=""/>
  </r>
  <r>
    <x v="0"/>
    <x v="115"/>
    <n v="119.41883634852104"/>
    <n v="119.41883634852104"/>
    <m/>
    <m/>
    <e v="#N/A"/>
    <n v="11"/>
    <n v="116"/>
    <n v="126"/>
    <n v="125"/>
    <e v="#N/A"/>
    <s v=""/>
    <s v=""/>
    <s v=""/>
  </r>
  <r>
    <x v="0"/>
    <x v="116"/>
    <n v="119.85417748196107"/>
    <n v="119.85417748196107"/>
    <m/>
    <m/>
    <e v="#N/A"/>
    <n v="11"/>
    <n v="117"/>
    <n v="127"/>
    <n v="126"/>
    <e v="#N/A"/>
    <s v=""/>
    <s v=""/>
    <s v=""/>
  </r>
  <r>
    <x v="0"/>
    <x v="117"/>
    <n v="120"/>
    <n v="120"/>
    <m/>
    <m/>
    <e v="#N/A"/>
    <n v="11"/>
    <n v="118"/>
    <n v="128"/>
    <n v="127"/>
    <e v="#N/A"/>
    <s v=""/>
    <s v=""/>
    <s v=""/>
  </r>
  <r>
    <x v="0"/>
    <x v="118"/>
    <n v="119.85417748196107"/>
    <n v="119.85417748196107"/>
    <m/>
    <m/>
    <e v="#N/A"/>
    <n v="11"/>
    <n v="119"/>
    <n v="129"/>
    <n v="128"/>
    <e v="#N/A"/>
    <s v=""/>
    <s v=""/>
    <s v=""/>
  </r>
  <r>
    <x v="0"/>
    <x v="119"/>
    <n v="119.41883634852104"/>
    <n v="119.41883634852104"/>
    <m/>
    <m/>
    <e v="#N/A"/>
    <n v="11"/>
    <n v="120"/>
    <n v="130"/>
    <n v="129"/>
    <e v="#N/A"/>
    <s v=""/>
    <s v=""/>
    <s v=""/>
  </r>
  <r>
    <x v="0"/>
    <x v="120"/>
    <n v="118.70032485370831"/>
    <n v="118.70032485370831"/>
    <m/>
    <m/>
    <e v="#N/A"/>
    <n v="11"/>
    <n v="121"/>
    <n v="131"/>
    <n v="130"/>
    <e v="#N/A"/>
    <s v=""/>
    <s v=""/>
    <s v=""/>
  </r>
  <r>
    <x v="0"/>
    <x v="121"/>
    <n v="117.70912051306419"/>
    <n v="117.70912051306419"/>
    <m/>
    <m/>
    <e v="#N/A"/>
    <n v="11"/>
    <n v="122"/>
    <n v="132"/>
    <n v="131"/>
    <e v="#N/A"/>
    <s v=""/>
    <s v=""/>
    <s v=""/>
  </r>
  <r>
    <x v="0"/>
    <x v="122"/>
    <n v="116.45967731787313"/>
    <n v="116.45967731787313"/>
    <m/>
    <m/>
    <e v="#N/A"/>
    <n v="11"/>
    <n v="123"/>
    <n v="133"/>
    <n v="132"/>
    <e v="#N/A"/>
    <s v=""/>
    <s v=""/>
    <s v=""/>
  </r>
  <r>
    <x v="0"/>
    <x v="123"/>
    <n v="114.97021496342202"/>
    <n v="114.97021496342202"/>
    <m/>
    <m/>
    <e v="#N/A"/>
    <n v="11"/>
    <n v="124"/>
    <n v="134"/>
    <n v="133"/>
    <e v="#N/A"/>
    <s v=""/>
    <s v=""/>
    <s v=""/>
  </r>
  <r>
    <x v="0"/>
    <x v="124"/>
    <n v="113.26245316481592"/>
    <n v="113.26245316481592"/>
    <m/>
    <m/>
    <e v="#N/A"/>
    <n v="11"/>
    <n v="125"/>
    <n v="135"/>
    <n v="134"/>
    <e v="#N/A"/>
    <s v=""/>
    <s v=""/>
    <s v=""/>
  </r>
  <r>
    <x v="0"/>
    <x v="125"/>
    <n v="111.36129493462315"/>
    <n v="111.36129493462315"/>
    <m/>
    <m/>
    <e v="#N/A"/>
    <n v="11"/>
    <n v="126"/>
    <n v="136"/>
    <n v="135"/>
    <e v="#N/A"/>
    <s v=""/>
    <s v=""/>
    <s v=""/>
  </r>
  <r>
    <x v="0"/>
    <x v="126"/>
    <n v="109.29446344087538"/>
    <n v="109.29446344087538"/>
    <m/>
    <m/>
    <e v="#N/A"/>
    <n v="11"/>
    <n v="127"/>
    <n v="137"/>
    <n v="136"/>
    <e v="#N/A"/>
    <s v=""/>
    <s v=""/>
    <s v=""/>
  </r>
  <r>
    <x v="0"/>
    <x v="127"/>
    <n v="107.09209774085073"/>
    <n v="107.09209774085073"/>
    <m/>
    <m/>
    <e v="#N/A"/>
    <n v="11"/>
    <n v="128"/>
    <n v="138"/>
    <n v="137"/>
    <e v="#N/A"/>
    <s v=""/>
    <s v=""/>
    <s v=""/>
  </r>
  <r>
    <x v="0"/>
    <x v="128"/>
    <n v="104.78631328575118"/>
    <n v="104.78631328575118"/>
    <m/>
    <m/>
    <e v="#N/A"/>
    <n v="11"/>
    <n v="129"/>
    <n v="139"/>
    <n v="138"/>
    <e v="#N/A"/>
    <s v=""/>
    <s v=""/>
    <s v=""/>
  </r>
  <r>
    <x v="0"/>
    <x v="129"/>
    <n v="102.4107336051065"/>
    <n v="102.4107336051065"/>
    <m/>
    <m/>
    <e v="#N/A"/>
    <n v="11"/>
    <n v="130"/>
    <n v="140"/>
    <n v="139"/>
    <e v="#N/A"/>
    <s v=""/>
    <s v=""/>
    <s v=""/>
  </r>
  <r>
    <x v="0"/>
    <x v="130"/>
    <n v="100.00000000000001"/>
    <n v="100.00000000000001"/>
    <m/>
    <m/>
    <e v="#N/A"/>
    <n v="11"/>
    <n v="131"/>
    <n v="141"/>
    <n v="140"/>
    <e v="#N/A"/>
    <s v=""/>
    <s v=""/>
    <s v=""/>
  </r>
  <r>
    <x v="0"/>
    <x v="131"/>
    <n v="97.589266394893528"/>
    <n v="97.589266394893528"/>
    <m/>
    <m/>
    <e v="#N/A"/>
    <n v="11"/>
    <n v="132"/>
    <n v="142"/>
    <n v="141"/>
    <e v="#N/A"/>
    <s v=""/>
    <s v=""/>
    <s v=""/>
  </r>
  <r>
    <x v="0"/>
    <x v="132"/>
    <n v="95.213686714248837"/>
    <n v="95.213686714248837"/>
    <m/>
    <m/>
    <e v="#N/A"/>
    <n v="11"/>
    <n v="133"/>
    <n v="143"/>
    <n v="142"/>
    <e v="#N/A"/>
    <s v=""/>
    <s v=""/>
    <s v=""/>
  </r>
  <r>
    <x v="0"/>
    <x v="133"/>
    <n v="92.907902259149296"/>
    <n v="92.907902259149296"/>
    <m/>
    <m/>
    <e v="#N/A"/>
    <n v="11"/>
    <n v="134"/>
    <n v="144"/>
    <n v="143"/>
    <e v="#N/A"/>
    <s v=""/>
    <s v=""/>
    <s v=""/>
  </r>
  <r>
    <x v="0"/>
    <x v="134"/>
    <n v="90.705536559124624"/>
    <n v="90.705536559124624"/>
    <m/>
    <m/>
    <e v="#N/A"/>
    <n v="11"/>
    <n v="135"/>
    <n v="145"/>
    <n v="144"/>
    <e v="#N/A"/>
    <s v=""/>
    <s v=""/>
    <s v=""/>
  </r>
  <r>
    <x v="0"/>
    <x v="135"/>
    <n v="88.638705065376911"/>
    <n v="88.638705065376911"/>
    <m/>
    <m/>
    <e v="#N/A"/>
    <n v="11"/>
    <n v="136"/>
    <n v="146"/>
    <n v="145"/>
    <e v="#N/A"/>
    <s v=""/>
    <s v=""/>
    <s v=""/>
  </r>
  <r>
    <x v="0"/>
    <x v="136"/>
    <n v="86.737546835184105"/>
    <n v="86.737546835184105"/>
    <m/>
    <m/>
    <e v="#N/A"/>
    <n v="11"/>
    <n v="137"/>
    <n v="147"/>
    <n v="146"/>
    <e v="#N/A"/>
    <s v=""/>
    <s v=""/>
    <s v=""/>
  </r>
  <r>
    <x v="0"/>
    <x v="137"/>
    <n v="85.029785036577962"/>
    <n v="85.029785036577962"/>
    <m/>
    <m/>
    <e v="#N/A"/>
    <n v="11"/>
    <n v="138"/>
    <n v="148"/>
    <n v="147"/>
    <e v="#N/A"/>
    <s v=""/>
    <s v=""/>
    <s v=""/>
  </r>
  <r>
    <x v="0"/>
    <x v="138"/>
    <n v="83.540322682126885"/>
    <n v="83.540322682126885"/>
    <m/>
    <m/>
    <e v="#N/A"/>
    <n v="11"/>
    <n v="139"/>
    <n v="149"/>
    <n v="148"/>
    <e v="#N/A"/>
    <s v=""/>
    <s v=""/>
    <s v=""/>
  </r>
  <r>
    <x v="0"/>
    <x v="139"/>
    <n v="82.290879486935808"/>
    <n v="82.290879486935808"/>
    <m/>
    <m/>
    <e v="#N/A"/>
    <n v="11"/>
    <n v="140"/>
    <n v="150"/>
    <n v="149"/>
    <e v="#N/A"/>
    <s v=""/>
    <s v=""/>
    <s v=""/>
  </r>
  <r>
    <x v="0"/>
    <x v="140"/>
    <n v="81.299675146291719"/>
    <n v="81.299675146291719"/>
    <m/>
    <m/>
    <e v="#N/A"/>
    <n v="11"/>
    <n v="141"/>
    <n v="151"/>
    <n v="150"/>
    <e v="#N/A"/>
    <s v=""/>
    <s v=""/>
    <s v=""/>
  </r>
  <r>
    <x v="0"/>
    <x v="141"/>
    <n v="80.58116365147896"/>
    <n v="80.58116365147896"/>
    <m/>
    <m/>
    <e v="#N/A"/>
    <n v="11"/>
    <n v="142"/>
    <n v="152"/>
    <n v="151"/>
    <e v="#N/A"/>
    <s v=""/>
    <s v=""/>
    <s v=""/>
  </r>
  <r>
    <x v="0"/>
    <x v="142"/>
    <n v="80.145822518038926"/>
    <n v="80.145822518038926"/>
    <m/>
    <m/>
    <e v="#N/A"/>
    <n v="11"/>
    <n v="143"/>
    <n v="153"/>
    <n v="152"/>
    <e v="#N/A"/>
    <s v=""/>
    <s v=""/>
    <s v=""/>
  </r>
  <r>
    <x v="0"/>
    <x v="143"/>
    <n v="80"/>
    <n v="80"/>
    <m/>
    <m/>
    <e v="#N/A"/>
    <n v="11"/>
    <n v="144"/>
    <n v="154"/>
    <n v="153"/>
    <e v="#N/A"/>
    <s v=""/>
    <s v=""/>
    <s v=""/>
  </r>
  <r>
    <x v="0"/>
    <x v="144"/>
    <n v="80.145822518038912"/>
    <n v="80.145822518038912"/>
    <m/>
    <m/>
    <e v="#N/A"/>
    <n v="11"/>
    <n v="145"/>
    <n v="155"/>
    <n v="154"/>
    <e v="#N/A"/>
    <s v=""/>
    <s v=""/>
    <s v=""/>
  </r>
  <r>
    <x v="0"/>
    <x v="145"/>
    <n v="80.58116365147896"/>
    <n v="80.58116365147896"/>
    <m/>
    <m/>
    <e v="#N/A"/>
    <n v="11"/>
    <n v="146"/>
    <n v="156"/>
    <n v="155"/>
    <e v="#N/A"/>
    <s v=""/>
    <s v=""/>
    <s v=""/>
  </r>
  <r>
    <x v="0"/>
    <x v="146"/>
    <n v="81.29967514629169"/>
    <n v="81.29967514629169"/>
    <m/>
    <m/>
    <e v="#N/A"/>
    <n v="11"/>
    <n v="147"/>
    <n v="157"/>
    <n v="156"/>
    <e v="#N/A"/>
    <s v=""/>
    <s v=""/>
    <s v=""/>
  </r>
  <r>
    <x v="0"/>
    <x v="147"/>
    <n v="82.290879486935793"/>
    <n v="82.290879486935793"/>
    <m/>
    <m/>
    <e v="#N/A"/>
    <n v="11"/>
    <n v="148"/>
    <n v="158"/>
    <n v="157"/>
    <e v="#N/A"/>
    <s v=""/>
    <s v=""/>
    <s v=""/>
  </r>
  <r>
    <x v="0"/>
    <x v="148"/>
    <n v="83.54032268212687"/>
    <n v="83.54032268212687"/>
    <m/>
    <m/>
    <e v="#N/A"/>
    <n v="11"/>
    <n v="149"/>
    <n v="159"/>
    <n v="158"/>
    <e v="#N/A"/>
    <s v=""/>
    <s v=""/>
    <s v=""/>
  </r>
  <r>
    <x v="0"/>
    <x v="149"/>
    <n v="85.029785036577948"/>
    <n v="85.029785036577948"/>
    <m/>
    <m/>
    <e v="#N/A"/>
    <n v="11"/>
    <n v="150"/>
    <n v="160"/>
    <n v="159"/>
    <e v="#N/A"/>
    <s v=""/>
    <s v=""/>
    <s v=""/>
  </r>
  <r>
    <x v="0"/>
    <x v="150"/>
    <n v="86.737546835184077"/>
    <n v="86.737546835184077"/>
    <m/>
    <m/>
    <e v="#N/A"/>
    <n v="11"/>
    <n v="151"/>
    <n v="161"/>
    <n v="160"/>
    <e v="#N/A"/>
    <s v=""/>
    <s v=""/>
    <s v=""/>
  </r>
  <r>
    <x v="0"/>
    <x v="151"/>
    <n v="88.638705065376882"/>
    <n v="88.638705065376882"/>
    <m/>
    <m/>
    <e v="#N/A"/>
    <n v="11"/>
    <n v="152"/>
    <n v="162"/>
    <n v="161"/>
    <e v="#N/A"/>
    <s v=""/>
    <s v=""/>
    <s v=""/>
  </r>
  <r>
    <x v="0"/>
    <x v="152"/>
    <n v="90.705536559124596"/>
    <n v="90.705536559124596"/>
    <m/>
    <m/>
    <e v="#N/A"/>
    <n v="11"/>
    <n v="153"/>
    <n v="163"/>
    <n v="162"/>
    <e v="#N/A"/>
    <s v=""/>
    <s v=""/>
    <s v=""/>
  </r>
  <r>
    <x v="0"/>
    <x v="153"/>
    <n v="92.907902259149267"/>
    <n v="92.907902259149267"/>
    <m/>
    <m/>
    <e v="#N/A"/>
    <n v="11"/>
    <n v="154"/>
    <n v="164"/>
    <n v="163"/>
    <e v="#N/A"/>
    <s v=""/>
    <s v=""/>
    <s v=""/>
  </r>
  <r>
    <x v="0"/>
    <x v="154"/>
    <n v="95.213686714248851"/>
    <n v="95.213686714248851"/>
    <m/>
    <m/>
    <e v="#N/A"/>
    <n v="11"/>
    <n v="155"/>
    <n v="165"/>
    <n v="164"/>
    <e v="#N/A"/>
    <s v=""/>
    <s v=""/>
    <s v=""/>
  </r>
  <r>
    <x v="0"/>
    <x v="155"/>
    <n v="97.5892663948935"/>
    <n v="97.5892663948935"/>
    <m/>
    <m/>
    <e v="#N/A"/>
    <n v="11"/>
    <n v="156"/>
    <n v="166"/>
    <n v="165"/>
    <e v="#N/A"/>
    <s v=""/>
    <s v=""/>
    <s v=""/>
  </r>
  <r>
    <x v="0"/>
    <x v="156"/>
    <n v="99.999999999999986"/>
    <m/>
    <n v="99.999999999999986"/>
    <n v="100.00000000000003"/>
    <n v="87.777893374065869"/>
    <n v="11"/>
    <s v=""/>
    <n v="166"/>
    <n v="166"/>
    <n v="100"/>
    <n v="1.4210854715202004E-14"/>
    <n v="4.2632564145606011E-14"/>
    <n v="12.222106625934117"/>
  </r>
  <r>
    <x v="0"/>
    <x v="157"/>
    <n v="102.4107336051064"/>
    <m/>
    <n v="102.4107336051064"/>
    <n v="102.41073360510647"/>
    <n v="89.747422679708706"/>
    <n v="11"/>
    <s v=""/>
    <n v="166"/>
    <n v="167"/>
    <n v="102.41073360510644"/>
    <n v="4.2632564145606011E-14"/>
    <n v="7.1054273576010019E-14"/>
    <n v="12.663310925397695"/>
  </r>
  <r>
    <x v="0"/>
    <x v="158"/>
    <n v="104.78631328575119"/>
    <m/>
    <n v="104.78631328575119"/>
    <n v="104.78631328575116"/>
    <n v="91.86645764947491"/>
    <n v="11"/>
    <s v=""/>
    <n v="166"/>
    <n v="168"/>
    <n v="104.78631328575113"/>
    <n v="5.6843418860808015E-14"/>
    <n v="2.8421709430404007E-14"/>
    <n v="12.919855636276282"/>
  </r>
  <r>
    <x v="0"/>
    <x v="159"/>
    <n v="107.0920977408507"/>
    <m/>
    <n v="107.0920977408507"/>
    <n v="107.0920977408507"/>
    <n v="94.104097981854054"/>
    <n v="11"/>
    <s v=""/>
    <n v="166"/>
    <n v="169"/>
    <n v="107.09209774085069"/>
    <n v="1.4210854715202004E-14"/>
    <n v="0"/>
    <n v="12.987999758996651"/>
  </r>
  <r>
    <x v="0"/>
    <x v="160"/>
    <n v="109.29446344087538"/>
    <m/>
    <n v="109.29446344087538"/>
    <n v="109.29446344087538"/>
    <n v="96.427713842072905"/>
    <n v="11"/>
    <s v=""/>
    <n v="166"/>
    <n v="170"/>
    <n v="109.29446344087535"/>
    <n v="2.8421709430404007E-14"/>
    <n v="0"/>
    <n v="12.866749598802471"/>
  </r>
  <r>
    <x v="0"/>
    <x v="161"/>
    <n v="111.36129493462309"/>
    <m/>
    <n v="111.36129493462309"/>
    <n v="111.3612949346231"/>
    <n v="98.803421678562188"/>
    <n v="11"/>
    <s v=""/>
    <n v="166"/>
    <n v="171"/>
    <n v="111.3612949346231"/>
    <n v="1.4210854715202004E-14"/>
    <n v="1.4210854715202004E-14"/>
    <n v="12.557873256060901"/>
  </r>
  <r>
    <x v="0"/>
    <x v="162"/>
    <n v="113.26245316481589"/>
    <m/>
    <n v="113.26245316481589"/>
    <n v="113.26245316481591"/>
    <n v="101.19657832143777"/>
    <n v="11"/>
    <s v=""/>
    <n v="166"/>
    <n v="172"/>
    <n v="113.26245316481589"/>
    <n v="0"/>
    <n v="1.4210854715202004E-14"/>
    <n v="12.065874843378126"/>
  </r>
  <r>
    <x v="0"/>
    <x v="163"/>
    <n v="114.97021496342198"/>
    <m/>
    <n v="114.97021496342198"/>
    <n v="114.97021496342201"/>
    <n v="103.57228615792707"/>
    <n v="11"/>
    <s v=""/>
    <n v="166"/>
    <n v="173"/>
    <n v="114.97021496342199"/>
    <n v="1.4210854715202004E-14"/>
    <n v="2.8421709430404007E-14"/>
    <n v="11.397928805494914"/>
  </r>
  <r>
    <x v="0"/>
    <x v="164"/>
    <n v="116.45967731787312"/>
    <m/>
    <n v="116.45967731787312"/>
    <n v="116.45967731787312"/>
    <n v="105.8959020181459"/>
    <n v="11"/>
    <s v=""/>
    <n v="166"/>
    <n v="174"/>
    <n v="116.4596773178731"/>
    <n v="1.4210854715202004E-14"/>
    <n v="0"/>
    <n v="10.563775299727212"/>
  </r>
  <r>
    <x v="0"/>
    <x v="165"/>
    <n v="117.70912051306416"/>
    <m/>
    <n v="117.70912051306416"/>
    <n v="117.70912051306422"/>
    <n v="108.13354235052509"/>
    <n v="11"/>
    <s v=""/>
    <n v="166"/>
    <n v="175"/>
    <n v="117.70912051306418"/>
    <n v="1.4210854715202004E-14"/>
    <n v="5.6843418860808015E-14"/>
    <n v="9.5755781625390739"/>
  </r>
  <r>
    <x v="0"/>
    <x v="166"/>
    <n v="118.70032485370831"/>
    <m/>
    <n v="118.70032485370831"/>
    <n v="118.70032485370831"/>
    <n v="110.25257732029127"/>
    <n v="11"/>
    <s v=""/>
    <n v="166"/>
    <n v="176"/>
    <n v="118.70032485370828"/>
    <n v="2.8421709430404007E-14"/>
    <n v="0"/>
    <n v="8.4477475334170435"/>
  </r>
  <r>
    <x v="0"/>
    <x v="167"/>
    <n v="119.41883634852105"/>
    <m/>
    <n v="119.41883634852105"/>
    <n v="119.41883634852104"/>
    <n v="112.22210662593409"/>
    <n v="11"/>
    <s v=""/>
    <n v="166"/>
    <n v="177"/>
    <n v="119.41883634852103"/>
    <n v="2.8421709430404007E-14"/>
    <n v="1.4210854715202004E-14"/>
    <n v="7.1967297225869657"/>
  </r>
  <r>
    <x v="0"/>
    <x v="168"/>
    <n v="119.85417748196107"/>
    <m/>
    <n v="119.85417748196107"/>
    <n v="119.85417748196107"/>
    <n v="114.01341009518352"/>
    <n v="11"/>
    <s v=""/>
    <n v="166"/>
    <n v="178"/>
    <n v="119.85417748196106"/>
    <n v="1.4210854715202004E-14"/>
    <n v="0"/>
    <n v="5.8407673867775571"/>
  </r>
  <r>
    <x v="0"/>
    <x v="169"/>
    <n v="120"/>
    <m/>
    <n v="120"/>
    <n v="120.00000000000003"/>
    <n v="115.6003664897938"/>
    <n v="11"/>
    <s v=""/>
    <n v="166"/>
    <n v="179"/>
    <n v="119.99999999999999"/>
    <n v="1.4210854715202004E-14"/>
    <n v="2.8421709430404007E-14"/>
    <n v="4.3996335102062005"/>
  </r>
  <r>
    <x v="0"/>
    <x v="170"/>
    <n v="119.85417748196109"/>
    <m/>
    <n v="119.85417748196109"/>
    <n v="119.85417748196109"/>
    <n v="116.95983441201689"/>
    <n v="11"/>
    <s v=""/>
    <n v="166"/>
    <n v="180"/>
    <n v="119.85417748196106"/>
    <n v="2.8421709430404007E-14"/>
    <n v="0"/>
    <n v="2.894343069944199"/>
  </r>
  <r>
    <x v="0"/>
    <x v="171"/>
    <n v="119.41883634852104"/>
    <m/>
    <n v="119.41883634852104"/>
    <n v="119.41883634852107"/>
    <n v="118.07198975829166"/>
    <n v="11"/>
    <s v=""/>
    <n v="166"/>
    <n v="181"/>
    <n v="119.41883634852103"/>
    <n v="1.4210854715202004E-14"/>
    <n v="2.8421709430404007E-14"/>
    <n v="1.3468465902293758"/>
  </r>
  <r>
    <x v="0"/>
    <x v="172"/>
    <n v="118.70032485370831"/>
    <m/>
    <n v="118.70032485370831"/>
    <n v="118.70032485370834"/>
    <n v="118.92061479931365"/>
    <n v="11"/>
    <s v=""/>
    <n v="166"/>
    <n v="182"/>
    <n v="118.70032485370828"/>
    <n v="2.8421709430404007E-14"/>
    <n v="2.8421709430404007E-14"/>
    <n v="0.22028994560534443"/>
  </r>
  <r>
    <x v="0"/>
    <x v="173"/>
    <n v="117.70912051306421"/>
    <m/>
    <n v="117.70912051306421"/>
    <n v="117.70912051306424"/>
    <n v="119.49333467104761"/>
    <n v="11"/>
    <s v=""/>
    <n v="166"/>
    <n v="183"/>
    <n v="117.70912051306419"/>
    <n v="1.4210854715202004E-14"/>
    <n v="2.8421709430404007E-14"/>
    <n v="1.7842141579833992"/>
  </r>
  <r>
    <x v="0"/>
    <x v="174"/>
    <n v="116.45967731787317"/>
    <m/>
    <n v="116.45967731787317"/>
    <n v="116.45967731787314"/>
    <n v="119.7817978281108"/>
    <n v="11"/>
    <s v=""/>
    <n v="166"/>
    <n v="184"/>
    <n v="116.45967731787313"/>
    <n v="4.2632564145606011E-14"/>
    <n v="2.8421709430404007E-14"/>
    <n v="3.3221205102376246"/>
  </r>
  <r>
    <x v="0"/>
    <x v="175"/>
    <n v="114.97021496342205"/>
    <m/>
    <n v="114.97021496342205"/>
    <n v="114.97021496342205"/>
    <n v="119.7817978281108"/>
    <n v="11"/>
    <s v=""/>
    <n v="166"/>
    <n v="185"/>
    <n v="114.97021496342201"/>
    <n v="4.2632564145606011E-14"/>
    <n v="0"/>
    <n v="4.8115828646887451"/>
  </r>
  <r>
    <x v="0"/>
    <x v="176"/>
    <n v="113.26245316481598"/>
    <m/>
    <n v="113.26245316481598"/>
    <n v="113.26245316481595"/>
    <n v="119.49333467104761"/>
    <n v="11"/>
    <s v=""/>
    <n v="166"/>
    <n v="186"/>
    <n v="113.26245316481589"/>
    <n v="8.5265128291212022E-14"/>
    <n v="2.8421709430404007E-14"/>
    <n v="6.2308815062316256"/>
  </r>
  <r>
    <x v="0"/>
    <x v="177"/>
    <n v="111.36129493462312"/>
    <m/>
    <n v="111.36129493462312"/>
    <n v="111.36129493462316"/>
    <n v="118.92061479931365"/>
    <n v="11"/>
    <s v=""/>
    <n v="166"/>
    <n v="187"/>
    <n v="111.36129493462312"/>
    <n v="0"/>
    <n v="4.2632564145606011E-14"/>
    <n v="7.5593198646905364"/>
  </r>
  <r>
    <x v="0"/>
    <x v="178"/>
    <n v="109.29446344087535"/>
    <m/>
    <n v="109.29446344087535"/>
    <n v="109.29446344087542"/>
    <n v="118.07198975829168"/>
    <n v="11"/>
    <s v=""/>
    <n v="166"/>
    <n v="188"/>
    <n v="109.29446344087536"/>
    <n v="1.4210854715202004E-14"/>
    <n v="7.1054273576010019E-14"/>
    <n v="8.7775263174163314"/>
  </r>
  <r>
    <x v="0"/>
    <x v="179"/>
    <n v="107.09209774085073"/>
    <m/>
    <n v="107.09209774085073"/>
    <n v="107.09209774085076"/>
    <n v="116.95983441201693"/>
    <n v="11"/>
    <s v=""/>
    <n v="166"/>
    <n v="189"/>
    <n v="107.0920977408507"/>
    <n v="2.8421709430404007E-14"/>
    <n v="2.8421709430404007E-14"/>
    <n v="9.8677366711661989"/>
  </r>
  <r>
    <x v="0"/>
    <x v="180"/>
    <n v="104.78631328575115"/>
    <m/>
    <n v="104.78631328575115"/>
    <n v="104.78631328575122"/>
    <n v="115.60036648979386"/>
    <n v="11"/>
    <s v=""/>
    <n v="166"/>
    <n v="190"/>
    <n v="104.78631328575116"/>
    <n v="1.4210854715202004E-14"/>
    <n v="7.1054273576010019E-14"/>
    <n v="10.814053204042708"/>
  </r>
  <r>
    <x v="0"/>
    <x v="181"/>
    <n v="102.4107336051065"/>
    <m/>
    <n v="102.4107336051065"/>
    <n v="102.41073360510651"/>
    <n v="114.01341009518357"/>
    <n v="11"/>
    <s v=""/>
    <n v="166"/>
    <n v="191"/>
    <n v="102.41073360510644"/>
    <n v="5.6843418860808015E-14"/>
    <n v="1.4210854715202004E-14"/>
    <n v="11.602676490077073"/>
  </r>
  <r>
    <x v="1"/>
    <x v="0"/>
    <n v="100"/>
    <n v="100"/>
    <m/>
    <m/>
    <e v="#N/A"/>
    <n v="193"/>
    <n v="1"/>
    <n v="193"/>
    <n v="192"/>
    <e v="#N/A"/>
    <s v=""/>
    <s v=""/>
    <s v=""/>
  </r>
  <r>
    <x v="1"/>
    <x v="1"/>
    <n v="102.91073360510646"/>
    <n v="102.91073360510646"/>
    <m/>
    <m/>
    <e v="#N/A"/>
    <n v="193"/>
    <n v="2"/>
    <n v="194"/>
    <n v="193"/>
    <e v="#N/A"/>
    <s v=""/>
    <s v=""/>
    <s v=""/>
  </r>
  <r>
    <x v="1"/>
    <x v="2"/>
    <n v="105.78631328575115"/>
    <n v="105.78631328575115"/>
    <m/>
    <m/>
    <e v="#N/A"/>
    <n v="193"/>
    <n v="3"/>
    <n v="195"/>
    <n v="194"/>
    <e v="#N/A"/>
    <s v=""/>
    <s v=""/>
    <s v=""/>
  </r>
  <r>
    <x v="1"/>
    <x v="3"/>
    <n v="108.59209774085072"/>
    <n v="108.59209774085072"/>
    <m/>
    <m/>
    <e v="#N/A"/>
    <n v="193"/>
    <n v="4"/>
    <n v="196"/>
    <n v="195"/>
    <e v="#N/A"/>
    <s v=""/>
    <s v=""/>
    <s v=""/>
  </r>
  <r>
    <x v="1"/>
    <x v="4"/>
    <n v="111.29446344087538"/>
    <n v="111.29446344087538"/>
    <m/>
    <m/>
    <e v="#N/A"/>
    <n v="193"/>
    <n v="5"/>
    <n v="197"/>
    <n v="196"/>
    <e v="#N/A"/>
    <s v=""/>
    <s v=""/>
    <s v=""/>
  </r>
  <r>
    <x v="1"/>
    <x v="5"/>
    <n v="113.86129493462312"/>
    <n v="113.86129493462312"/>
    <m/>
    <m/>
    <e v="#N/A"/>
    <n v="193"/>
    <n v="6"/>
    <n v="198"/>
    <n v="197"/>
    <e v="#N/A"/>
    <s v=""/>
    <s v=""/>
    <s v=""/>
  </r>
  <r>
    <x v="1"/>
    <x v="6"/>
    <n v="116.26245316481591"/>
    <n v="116.26245316481591"/>
    <m/>
    <m/>
    <e v="#N/A"/>
    <n v="193"/>
    <n v="7"/>
    <n v="199"/>
    <n v="198"/>
    <e v="#N/A"/>
    <s v=""/>
    <s v=""/>
    <s v=""/>
  </r>
  <r>
    <x v="1"/>
    <x v="7"/>
    <n v="118.47021496342202"/>
    <n v="118.47021496342202"/>
    <m/>
    <m/>
    <e v="#N/A"/>
    <n v="193"/>
    <n v="8"/>
    <n v="200"/>
    <n v="199"/>
    <e v="#N/A"/>
    <s v=""/>
    <s v=""/>
    <s v=""/>
  </r>
  <r>
    <x v="1"/>
    <x v="8"/>
    <n v="120.45967731787313"/>
    <n v="120.45967731787313"/>
    <m/>
    <m/>
    <e v="#N/A"/>
    <n v="193"/>
    <n v="9"/>
    <n v="201"/>
    <n v="200"/>
    <e v="#N/A"/>
    <s v=""/>
    <s v=""/>
    <s v=""/>
  </r>
  <r>
    <x v="1"/>
    <x v="9"/>
    <n v="122.20912051306419"/>
    <n v="122.20912051306419"/>
    <m/>
    <m/>
    <e v="#N/A"/>
    <n v="193"/>
    <n v="10"/>
    <n v="202"/>
    <n v="201"/>
    <e v="#N/A"/>
    <s v=""/>
    <s v=""/>
    <s v=""/>
  </r>
  <r>
    <x v="1"/>
    <x v="10"/>
    <n v="123.7003248537083"/>
    <n v="123.7003248537083"/>
    <m/>
    <m/>
    <e v="#N/A"/>
    <n v="193"/>
    <n v="11"/>
    <n v="203"/>
    <n v="202"/>
    <e v="#N/A"/>
    <s v=""/>
    <s v=""/>
    <s v=""/>
  </r>
  <r>
    <x v="1"/>
    <x v="11"/>
    <n v="124.91883634852104"/>
    <n v="124.91883634852104"/>
    <m/>
    <m/>
    <e v="#N/A"/>
    <n v="193"/>
    <n v="12"/>
    <n v="204"/>
    <n v="203"/>
    <e v="#N/A"/>
    <s v=""/>
    <s v=""/>
    <s v=""/>
  </r>
  <r>
    <x v="1"/>
    <x v="12"/>
    <n v="125.85417748196107"/>
    <n v="125.85417748196107"/>
    <m/>
    <m/>
    <e v="#N/A"/>
    <n v="193"/>
    <n v="13"/>
    <n v="205"/>
    <n v="204"/>
    <e v="#N/A"/>
    <s v=""/>
    <s v=""/>
    <s v=""/>
  </r>
  <r>
    <x v="1"/>
    <x v="13"/>
    <n v="126.5"/>
    <n v="126.5"/>
    <m/>
    <m/>
    <e v="#N/A"/>
    <n v="193"/>
    <n v="14"/>
    <n v="206"/>
    <n v="205"/>
    <e v="#N/A"/>
    <s v=""/>
    <s v=""/>
    <s v=""/>
  </r>
  <r>
    <x v="1"/>
    <x v="14"/>
    <n v="126.85417748196107"/>
    <n v="126.85417748196107"/>
    <m/>
    <m/>
    <e v="#N/A"/>
    <n v="193"/>
    <n v="15"/>
    <n v="207"/>
    <n v="206"/>
    <e v="#N/A"/>
    <s v=""/>
    <s v=""/>
    <s v=""/>
  </r>
  <r>
    <x v="1"/>
    <x v="15"/>
    <n v="126.91883634852104"/>
    <n v="126.91883634852104"/>
    <m/>
    <m/>
    <e v="#N/A"/>
    <n v="193"/>
    <n v="16"/>
    <n v="208"/>
    <n v="207"/>
    <e v="#N/A"/>
    <s v=""/>
    <s v=""/>
    <s v=""/>
  </r>
  <r>
    <x v="1"/>
    <x v="16"/>
    <n v="126.7003248537083"/>
    <n v="126.7003248537083"/>
    <m/>
    <m/>
    <e v="#N/A"/>
    <n v="193"/>
    <n v="17"/>
    <n v="209"/>
    <n v="208"/>
    <e v="#N/A"/>
    <s v=""/>
    <s v=""/>
    <s v=""/>
  </r>
  <r>
    <x v="1"/>
    <x v="17"/>
    <n v="126.20912051306419"/>
    <n v="126.20912051306419"/>
    <m/>
    <m/>
    <e v="#N/A"/>
    <n v="193"/>
    <n v="18"/>
    <n v="210"/>
    <n v="209"/>
    <e v="#N/A"/>
    <s v=""/>
    <s v=""/>
    <s v=""/>
  </r>
  <r>
    <x v="1"/>
    <x v="18"/>
    <n v="125.45967731787313"/>
    <n v="125.45967731787313"/>
    <m/>
    <m/>
    <e v="#N/A"/>
    <n v="193"/>
    <n v="19"/>
    <n v="211"/>
    <n v="210"/>
    <e v="#N/A"/>
    <s v=""/>
    <s v=""/>
    <s v=""/>
  </r>
  <r>
    <x v="1"/>
    <x v="19"/>
    <n v="124.47021496342202"/>
    <n v="124.47021496342202"/>
    <m/>
    <m/>
    <e v="#N/A"/>
    <n v="193"/>
    <n v="20"/>
    <n v="212"/>
    <n v="211"/>
    <e v="#N/A"/>
    <s v=""/>
    <s v=""/>
    <s v=""/>
  </r>
  <r>
    <x v="1"/>
    <x v="20"/>
    <n v="123.26245316481591"/>
    <n v="123.26245316481591"/>
    <m/>
    <m/>
    <e v="#N/A"/>
    <n v="193"/>
    <n v="21"/>
    <n v="213"/>
    <n v="212"/>
    <e v="#N/A"/>
    <s v=""/>
    <s v=""/>
    <s v=""/>
  </r>
  <r>
    <x v="1"/>
    <x v="21"/>
    <n v="121.86129493462312"/>
    <n v="121.86129493462312"/>
    <m/>
    <m/>
    <e v="#N/A"/>
    <n v="193"/>
    <n v="22"/>
    <n v="214"/>
    <n v="213"/>
    <e v="#N/A"/>
    <s v=""/>
    <s v=""/>
    <s v=""/>
  </r>
  <r>
    <x v="1"/>
    <x v="22"/>
    <n v="120.29446344087538"/>
    <n v="120.29446344087538"/>
    <m/>
    <m/>
    <e v="#N/A"/>
    <n v="193"/>
    <n v="23"/>
    <n v="215"/>
    <n v="214"/>
    <e v="#N/A"/>
    <s v=""/>
    <s v=""/>
    <s v=""/>
  </r>
  <r>
    <x v="1"/>
    <x v="23"/>
    <n v="118.59209774085072"/>
    <n v="118.59209774085072"/>
    <m/>
    <m/>
    <e v="#N/A"/>
    <n v="193"/>
    <n v="24"/>
    <n v="216"/>
    <n v="215"/>
    <e v="#N/A"/>
    <s v=""/>
    <s v=""/>
    <s v=""/>
  </r>
  <r>
    <x v="1"/>
    <x v="24"/>
    <n v="116.78631328575115"/>
    <n v="116.78631328575115"/>
    <m/>
    <m/>
    <e v="#N/A"/>
    <n v="193"/>
    <n v="25"/>
    <n v="217"/>
    <n v="216"/>
    <e v="#N/A"/>
    <s v=""/>
    <s v=""/>
    <s v=""/>
  </r>
  <r>
    <x v="1"/>
    <x v="25"/>
    <n v="114.91073360510646"/>
    <n v="114.91073360510646"/>
    <m/>
    <m/>
    <e v="#N/A"/>
    <n v="193"/>
    <n v="26"/>
    <n v="218"/>
    <n v="217"/>
    <e v="#N/A"/>
    <s v=""/>
    <s v=""/>
    <s v=""/>
  </r>
  <r>
    <x v="1"/>
    <x v="26"/>
    <n v="113"/>
    <n v="113"/>
    <m/>
    <m/>
    <e v="#N/A"/>
    <n v="193"/>
    <n v="27"/>
    <n v="219"/>
    <n v="218"/>
    <e v="#N/A"/>
    <s v=""/>
    <s v=""/>
    <s v=""/>
  </r>
  <r>
    <x v="1"/>
    <x v="27"/>
    <n v="111.08926639489354"/>
    <n v="111.08926639489354"/>
    <m/>
    <m/>
    <e v="#N/A"/>
    <n v="193"/>
    <n v="28"/>
    <n v="220"/>
    <n v="219"/>
    <e v="#N/A"/>
    <s v=""/>
    <s v=""/>
    <s v=""/>
  </r>
  <r>
    <x v="1"/>
    <x v="28"/>
    <n v="109.21368671424885"/>
    <n v="109.21368671424885"/>
    <m/>
    <m/>
    <e v="#N/A"/>
    <n v="193"/>
    <n v="29"/>
    <n v="221"/>
    <n v="220"/>
    <e v="#N/A"/>
    <s v=""/>
    <s v=""/>
    <s v=""/>
  </r>
  <r>
    <x v="1"/>
    <x v="29"/>
    <n v="107.40790225914928"/>
    <n v="107.40790225914928"/>
    <m/>
    <m/>
    <e v="#N/A"/>
    <n v="193"/>
    <n v="30"/>
    <n v="222"/>
    <n v="221"/>
    <e v="#N/A"/>
    <s v=""/>
    <s v=""/>
    <s v=""/>
  </r>
  <r>
    <x v="1"/>
    <x v="30"/>
    <n v="105.70553655912464"/>
    <n v="105.70553655912464"/>
    <m/>
    <m/>
    <e v="#N/A"/>
    <n v="193"/>
    <n v="31"/>
    <n v="223"/>
    <n v="222"/>
    <e v="#N/A"/>
    <s v=""/>
    <s v=""/>
    <s v=""/>
  </r>
  <r>
    <x v="1"/>
    <x v="31"/>
    <n v="104.13870506537688"/>
    <n v="104.13870506537688"/>
    <m/>
    <m/>
    <e v="#N/A"/>
    <n v="193"/>
    <n v="32"/>
    <n v="224"/>
    <n v="223"/>
    <e v="#N/A"/>
    <s v=""/>
    <s v=""/>
    <s v=""/>
  </r>
  <r>
    <x v="1"/>
    <x v="32"/>
    <n v="102.73754683518411"/>
    <n v="102.73754683518411"/>
    <m/>
    <m/>
    <e v="#N/A"/>
    <n v="193"/>
    <n v="33"/>
    <n v="225"/>
    <n v="224"/>
    <e v="#N/A"/>
    <s v=""/>
    <s v=""/>
    <s v=""/>
  </r>
  <r>
    <x v="1"/>
    <x v="33"/>
    <n v="101.52978503657798"/>
    <n v="101.52978503657798"/>
    <m/>
    <m/>
    <e v="#N/A"/>
    <n v="193"/>
    <n v="34"/>
    <n v="226"/>
    <n v="225"/>
    <e v="#N/A"/>
    <s v=""/>
    <s v=""/>
    <s v=""/>
  </r>
  <r>
    <x v="1"/>
    <x v="34"/>
    <n v="100.54032268212687"/>
    <n v="100.54032268212687"/>
    <m/>
    <m/>
    <e v="#N/A"/>
    <n v="193"/>
    <n v="35"/>
    <n v="227"/>
    <n v="226"/>
    <e v="#N/A"/>
    <s v=""/>
    <s v=""/>
    <s v=""/>
  </r>
  <r>
    <x v="1"/>
    <x v="35"/>
    <n v="99.790879486935808"/>
    <n v="99.790879486935808"/>
    <m/>
    <m/>
    <e v="#N/A"/>
    <n v="193"/>
    <n v="36"/>
    <n v="228"/>
    <n v="227"/>
    <e v="#N/A"/>
    <s v=""/>
    <s v=""/>
    <s v=""/>
  </r>
  <r>
    <x v="1"/>
    <x v="36"/>
    <n v="99.299675146291705"/>
    <n v="99.299675146291705"/>
    <m/>
    <m/>
    <e v="#N/A"/>
    <n v="193"/>
    <n v="37"/>
    <n v="229"/>
    <n v="228"/>
    <e v="#N/A"/>
    <s v=""/>
    <s v=""/>
    <s v=""/>
  </r>
  <r>
    <x v="1"/>
    <x v="37"/>
    <n v="99.08116365147896"/>
    <n v="99.08116365147896"/>
    <m/>
    <m/>
    <e v="#N/A"/>
    <n v="193"/>
    <n v="38"/>
    <n v="230"/>
    <n v="229"/>
    <e v="#N/A"/>
    <s v=""/>
    <s v=""/>
    <s v=""/>
  </r>
  <r>
    <x v="1"/>
    <x v="38"/>
    <n v="99.145822518038926"/>
    <n v="99.145822518038926"/>
    <m/>
    <m/>
    <e v="#N/A"/>
    <n v="193"/>
    <n v="39"/>
    <n v="231"/>
    <n v="230"/>
    <e v="#N/A"/>
    <s v=""/>
    <s v=""/>
    <s v=""/>
  </r>
  <r>
    <x v="1"/>
    <x v="39"/>
    <n v="99.5"/>
    <n v="99.5"/>
    <m/>
    <m/>
    <e v="#N/A"/>
    <n v="193"/>
    <n v="40"/>
    <n v="232"/>
    <n v="231"/>
    <e v="#N/A"/>
    <s v=""/>
    <s v=""/>
    <s v=""/>
  </r>
  <r>
    <x v="1"/>
    <x v="40"/>
    <n v="100.14582251803893"/>
    <n v="100.14582251803893"/>
    <m/>
    <m/>
    <e v="#N/A"/>
    <n v="193"/>
    <n v="41"/>
    <n v="233"/>
    <n v="232"/>
    <e v="#N/A"/>
    <s v=""/>
    <s v=""/>
    <s v=""/>
  </r>
  <r>
    <x v="1"/>
    <x v="41"/>
    <n v="101.08116365147896"/>
    <n v="101.08116365147896"/>
    <m/>
    <m/>
    <e v="#N/A"/>
    <n v="193"/>
    <n v="42"/>
    <n v="234"/>
    <n v="233"/>
    <e v="#N/A"/>
    <s v=""/>
    <s v=""/>
    <s v=""/>
  </r>
  <r>
    <x v="1"/>
    <x v="42"/>
    <n v="102.2996751462917"/>
    <n v="102.2996751462917"/>
    <m/>
    <m/>
    <e v="#N/A"/>
    <n v="193"/>
    <n v="43"/>
    <n v="235"/>
    <n v="234"/>
    <e v="#N/A"/>
    <s v=""/>
    <s v=""/>
    <s v=""/>
  </r>
  <r>
    <x v="1"/>
    <x v="43"/>
    <n v="103.79087948693579"/>
    <n v="103.79087948693579"/>
    <m/>
    <m/>
    <e v="#N/A"/>
    <n v="193"/>
    <n v="44"/>
    <n v="236"/>
    <n v="235"/>
    <e v="#N/A"/>
    <s v=""/>
    <s v=""/>
    <s v=""/>
  </r>
  <r>
    <x v="1"/>
    <x v="44"/>
    <n v="105.54032268212686"/>
    <n v="105.54032268212686"/>
    <m/>
    <m/>
    <e v="#N/A"/>
    <n v="193"/>
    <n v="45"/>
    <n v="237"/>
    <n v="236"/>
    <e v="#N/A"/>
    <s v=""/>
    <s v=""/>
    <s v=""/>
  </r>
  <r>
    <x v="1"/>
    <x v="45"/>
    <n v="107.52978503657798"/>
    <n v="107.52978503657798"/>
    <m/>
    <m/>
    <e v="#N/A"/>
    <n v="193"/>
    <n v="46"/>
    <n v="238"/>
    <n v="237"/>
    <e v="#N/A"/>
    <s v=""/>
    <s v=""/>
    <s v=""/>
  </r>
  <r>
    <x v="1"/>
    <x v="46"/>
    <n v="109.73754683518409"/>
    <n v="109.73754683518409"/>
    <m/>
    <m/>
    <e v="#N/A"/>
    <n v="193"/>
    <n v="47"/>
    <n v="239"/>
    <n v="238"/>
    <e v="#N/A"/>
    <s v=""/>
    <s v=""/>
    <s v=""/>
  </r>
  <r>
    <x v="1"/>
    <x v="47"/>
    <n v="112.13870506537688"/>
    <n v="112.13870506537688"/>
    <m/>
    <m/>
    <e v="#N/A"/>
    <n v="193"/>
    <n v="48"/>
    <n v="240"/>
    <n v="239"/>
    <e v="#N/A"/>
    <s v=""/>
    <s v=""/>
    <s v=""/>
  </r>
  <r>
    <x v="1"/>
    <x v="48"/>
    <n v="114.70553655912462"/>
    <n v="114.70553655912462"/>
    <m/>
    <m/>
    <e v="#N/A"/>
    <n v="193"/>
    <n v="49"/>
    <n v="241"/>
    <n v="240"/>
    <e v="#N/A"/>
    <s v=""/>
    <s v=""/>
    <s v=""/>
  </r>
  <r>
    <x v="1"/>
    <x v="49"/>
    <n v="117.40790225914928"/>
    <n v="117.40790225914928"/>
    <m/>
    <m/>
    <e v="#N/A"/>
    <n v="193"/>
    <n v="50"/>
    <n v="242"/>
    <n v="241"/>
    <e v="#N/A"/>
    <s v=""/>
    <s v=""/>
    <s v=""/>
  </r>
  <r>
    <x v="1"/>
    <x v="50"/>
    <n v="120.21368671424884"/>
    <n v="120.21368671424884"/>
    <m/>
    <m/>
    <e v="#N/A"/>
    <n v="193"/>
    <n v="51"/>
    <n v="243"/>
    <n v="242"/>
    <e v="#N/A"/>
    <s v=""/>
    <s v=""/>
    <s v=""/>
  </r>
  <r>
    <x v="1"/>
    <x v="51"/>
    <n v="123.08926639489353"/>
    <n v="123.08926639489353"/>
    <m/>
    <m/>
    <e v="#N/A"/>
    <n v="193"/>
    <n v="52"/>
    <n v="244"/>
    <n v="243"/>
    <e v="#N/A"/>
    <s v=""/>
    <s v=""/>
    <s v=""/>
  </r>
  <r>
    <x v="1"/>
    <x v="52"/>
    <n v="126.00000000000001"/>
    <n v="126.00000000000001"/>
    <m/>
    <m/>
    <e v="#N/A"/>
    <n v="193"/>
    <n v="53"/>
    <n v="245"/>
    <n v="244"/>
    <e v="#N/A"/>
    <s v=""/>
    <s v=""/>
    <s v=""/>
  </r>
  <r>
    <x v="1"/>
    <x v="53"/>
    <n v="128.91073360510646"/>
    <n v="128.91073360510646"/>
    <m/>
    <m/>
    <e v="#N/A"/>
    <n v="193"/>
    <n v="54"/>
    <n v="246"/>
    <n v="245"/>
    <e v="#N/A"/>
    <s v=""/>
    <s v=""/>
    <s v=""/>
  </r>
  <r>
    <x v="1"/>
    <x v="54"/>
    <n v="131.78631328575113"/>
    <n v="131.78631328575113"/>
    <m/>
    <m/>
    <e v="#N/A"/>
    <n v="193"/>
    <n v="55"/>
    <n v="247"/>
    <n v="246"/>
    <e v="#N/A"/>
    <s v=""/>
    <s v=""/>
    <s v=""/>
  </r>
  <r>
    <x v="1"/>
    <x v="55"/>
    <n v="134.5920977408507"/>
    <n v="134.5920977408507"/>
    <m/>
    <m/>
    <e v="#N/A"/>
    <n v="193"/>
    <n v="56"/>
    <n v="248"/>
    <n v="247"/>
    <e v="#N/A"/>
    <s v=""/>
    <s v=""/>
    <s v=""/>
  </r>
  <r>
    <x v="1"/>
    <x v="56"/>
    <n v="137.29446344087535"/>
    <n v="137.29446344087535"/>
    <m/>
    <m/>
    <e v="#N/A"/>
    <n v="193"/>
    <n v="57"/>
    <n v="249"/>
    <n v="248"/>
    <e v="#N/A"/>
    <s v=""/>
    <s v=""/>
    <s v=""/>
  </r>
  <r>
    <x v="1"/>
    <x v="57"/>
    <n v="139.86129493462312"/>
    <n v="139.86129493462312"/>
    <m/>
    <m/>
    <e v="#N/A"/>
    <n v="193"/>
    <n v="58"/>
    <n v="250"/>
    <n v="249"/>
    <e v="#N/A"/>
    <s v=""/>
    <s v=""/>
    <s v=""/>
  </r>
  <r>
    <x v="1"/>
    <x v="58"/>
    <n v="142.26245316481589"/>
    <n v="142.26245316481589"/>
    <m/>
    <m/>
    <e v="#N/A"/>
    <n v="193"/>
    <n v="59"/>
    <n v="251"/>
    <n v="250"/>
    <e v="#N/A"/>
    <s v=""/>
    <s v=""/>
    <s v=""/>
  </r>
  <r>
    <x v="1"/>
    <x v="59"/>
    <n v="144.47021496342202"/>
    <n v="144.47021496342202"/>
    <m/>
    <m/>
    <e v="#N/A"/>
    <n v="193"/>
    <n v="60"/>
    <n v="252"/>
    <n v="251"/>
    <e v="#N/A"/>
    <s v=""/>
    <s v=""/>
    <s v=""/>
  </r>
  <r>
    <x v="1"/>
    <x v="60"/>
    <n v="146.45967731787312"/>
    <n v="146.45967731787312"/>
    <m/>
    <m/>
    <e v="#N/A"/>
    <n v="193"/>
    <n v="61"/>
    <n v="253"/>
    <n v="252"/>
    <e v="#N/A"/>
    <s v=""/>
    <s v=""/>
    <s v=""/>
  </r>
  <r>
    <x v="1"/>
    <x v="61"/>
    <n v="148.20912051306419"/>
    <n v="148.20912051306419"/>
    <m/>
    <m/>
    <e v="#N/A"/>
    <n v="193"/>
    <n v="62"/>
    <n v="254"/>
    <n v="253"/>
    <e v="#N/A"/>
    <s v=""/>
    <s v=""/>
    <s v=""/>
  </r>
  <r>
    <x v="1"/>
    <x v="62"/>
    <n v="149.70032485370831"/>
    <n v="149.70032485370831"/>
    <m/>
    <m/>
    <e v="#N/A"/>
    <n v="193"/>
    <n v="63"/>
    <n v="255"/>
    <n v="254"/>
    <e v="#N/A"/>
    <s v=""/>
    <s v=""/>
    <s v=""/>
  </r>
  <r>
    <x v="1"/>
    <x v="63"/>
    <n v="150.91883634852104"/>
    <n v="150.91883634852104"/>
    <m/>
    <m/>
    <e v="#N/A"/>
    <n v="193"/>
    <n v="64"/>
    <n v="256"/>
    <n v="255"/>
    <e v="#N/A"/>
    <s v=""/>
    <s v=""/>
    <s v=""/>
  </r>
  <r>
    <x v="1"/>
    <x v="64"/>
    <n v="151.85417748196107"/>
    <n v="151.85417748196107"/>
    <m/>
    <m/>
    <e v="#N/A"/>
    <n v="193"/>
    <n v="65"/>
    <n v="257"/>
    <n v="256"/>
    <e v="#N/A"/>
    <s v=""/>
    <s v=""/>
    <s v=""/>
  </r>
  <r>
    <x v="1"/>
    <x v="65"/>
    <n v="152.5"/>
    <n v="152.5"/>
    <m/>
    <m/>
    <e v="#N/A"/>
    <n v="193"/>
    <n v="66"/>
    <n v="258"/>
    <n v="257"/>
    <e v="#N/A"/>
    <s v=""/>
    <s v=""/>
    <s v=""/>
  </r>
  <r>
    <x v="1"/>
    <x v="66"/>
    <n v="152.85417748196107"/>
    <n v="152.85417748196107"/>
    <m/>
    <m/>
    <e v="#N/A"/>
    <n v="193"/>
    <n v="67"/>
    <n v="259"/>
    <n v="258"/>
    <e v="#N/A"/>
    <s v=""/>
    <s v=""/>
    <s v=""/>
  </r>
  <r>
    <x v="1"/>
    <x v="67"/>
    <n v="152.91883634852104"/>
    <n v="152.91883634852104"/>
    <m/>
    <m/>
    <e v="#N/A"/>
    <n v="193"/>
    <n v="68"/>
    <n v="260"/>
    <n v="259"/>
    <e v="#N/A"/>
    <s v=""/>
    <s v=""/>
    <s v=""/>
  </r>
  <r>
    <x v="1"/>
    <x v="68"/>
    <n v="152.70032485370831"/>
    <n v="152.70032485370831"/>
    <m/>
    <m/>
    <e v="#N/A"/>
    <n v="193"/>
    <n v="69"/>
    <n v="261"/>
    <n v="260"/>
    <e v="#N/A"/>
    <s v=""/>
    <s v=""/>
    <s v=""/>
  </r>
  <r>
    <x v="1"/>
    <x v="69"/>
    <n v="152.20912051306419"/>
    <n v="152.20912051306419"/>
    <m/>
    <m/>
    <e v="#N/A"/>
    <n v="193"/>
    <n v="70"/>
    <n v="262"/>
    <n v="261"/>
    <e v="#N/A"/>
    <s v=""/>
    <s v=""/>
    <s v=""/>
  </r>
  <r>
    <x v="1"/>
    <x v="70"/>
    <n v="151.45967731787314"/>
    <n v="151.45967731787314"/>
    <m/>
    <m/>
    <e v="#N/A"/>
    <n v="193"/>
    <n v="71"/>
    <n v="263"/>
    <n v="262"/>
    <e v="#N/A"/>
    <s v=""/>
    <s v=""/>
    <s v=""/>
  </r>
  <r>
    <x v="1"/>
    <x v="71"/>
    <n v="150.47021496342202"/>
    <n v="150.47021496342202"/>
    <m/>
    <m/>
    <e v="#N/A"/>
    <n v="193"/>
    <n v="72"/>
    <n v="264"/>
    <n v="263"/>
    <e v="#N/A"/>
    <s v=""/>
    <s v=""/>
    <s v=""/>
  </r>
  <r>
    <x v="1"/>
    <x v="72"/>
    <n v="149.26245316481592"/>
    <n v="149.26245316481592"/>
    <m/>
    <m/>
    <e v="#N/A"/>
    <n v="193"/>
    <n v="73"/>
    <n v="265"/>
    <n v="264"/>
    <e v="#N/A"/>
    <s v=""/>
    <s v=""/>
    <s v=""/>
  </r>
  <r>
    <x v="1"/>
    <x v="73"/>
    <n v="147.86129493462315"/>
    <n v="147.86129493462315"/>
    <m/>
    <m/>
    <e v="#N/A"/>
    <n v="193"/>
    <n v="74"/>
    <n v="266"/>
    <n v="265"/>
    <e v="#N/A"/>
    <s v=""/>
    <s v=""/>
    <s v=""/>
  </r>
  <r>
    <x v="1"/>
    <x v="74"/>
    <n v="146.29446344087538"/>
    <n v="146.29446344087538"/>
    <m/>
    <m/>
    <e v="#N/A"/>
    <n v="193"/>
    <n v="75"/>
    <n v="267"/>
    <n v="266"/>
    <e v="#N/A"/>
    <s v=""/>
    <s v=""/>
    <s v=""/>
  </r>
  <r>
    <x v="1"/>
    <x v="75"/>
    <n v="144.59209774085073"/>
    <n v="144.59209774085073"/>
    <m/>
    <m/>
    <e v="#N/A"/>
    <n v="193"/>
    <n v="76"/>
    <n v="268"/>
    <n v="267"/>
    <e v="#N/A"/>
    <s v=""/>
    <s v=""/>
    <s v=""/>
  </r>
  <r>
    <x v="1"/>
    <x v="76"/>
    <n v="142.78631328575116"/>
    <n v="142.78631328575116"/>
    <m/>
    <m/>
    <e v="#N/A"/>
    <n v="193"/>
    <n v="77"/>
    <n v="269"/>
    <n v="268"/>
    <e v="#N/A"/>
    <s v=""/>
    <s v=""/>
    <s v=""/>
  </r>
  <r>
    <x v="1"/>
    <x v="77"/>
    <n v="140.91073360510646"/>
    <n v="140.91073360510646"/>
    <m/>
    <m/>
    <e v="#N/A"/>
    <n v="193"/>
    <n v="78"/>
    <n v="270"/>
    <n v="269"/>
    <e v="#N/A"/>
    <s v=""/>
    <s v=""/>
    <s v=""/>
  </r>
  <r>
    <x v="1"/>
    <x v="78"/>
    <n v="139"/>
    <n v="139"/>
    <m/>
    <m/>
    <e v="#N/A"/>
    <n v="193"/>
    <n v="79"/>
    <n v="271"/>
    <n v="270"/>
    <e v="#N/A"/>
    <s v=""/>
    <s v=""/>
    <s v=""/>
  </r>
  <r>
    <x v="1"/>
    <x v="79"/>
    <n v="137.08926639489351"/>
    <n v="137.08926639489351"/>
    <m/>
    <m/>
    <e v="#N/A"/>
    <n v="193"/>
    <n v="80"/>
    <n v="272"/>
    <n v="271"/>
    <e v="#N/A"/>
    <s v=""/>
    <s v=""/>
    <s v=""/>
  </r>
  <r>
    <x v="1"/>
    <x v="80"/>
    <n v="135.21368671424884"/>
    <n v="135.21368671424884"/>
    <m/>
    <m/>
    <e v="#N/A"/>
    <n v="193"/>
    <n v="81"/>
    <n v="273"/>
    <n v="272"/>
    <e v="#N/A"/>
    <s v=""/>
    <s v=""/>
    <s v=""/>
  </r>
  <r>
    <x v="1"/>
    <x v="81"/>
    <n v="133.4079022591493"/>
    <n v="133.4079022591493"/>
    <m/>
    <m/>
    <e v="#N/A"/>
    <n v="193"/>
    <n v="82"/>
    <n v="274"/>
    <n v="273"/>
    <e v="#N/A"/>
    <s v=""/>
    <s v=""/>
    <s v=""/>
  </r>
  <r>
    <x v="1"/>
    <x v="82"/>
    <n v="131.70553655912465"/>
    <n v="131.70553655912465"/>
    <m/>
    <m/>
    <e v="#N/A"/>
    <n v="193"/>
    <n v="83"/>
    <n v="275"/>
    <n v="274"/>
    <e v="#N/A"/>
    <s v=""/>
    <s v=""/>
    <s v=""/>
  </r>
  <r>
    <x v="1"/>
    <x v="83"/>
    <n v="130.13870506537688"/>
    <n v="130.13870506537688"/>
    <m/>
    <m/>
    <e v="#N/A"/>
    <n v="193"/>
    <n v="84"/>
    <n v="276"/>
    <n v="275"/>
    <e v="#N/A"/>
    <s v=""/>
    <s v=""/>
    <s v=""/>
  </r>
  <r>
    <x v="1"/>
    <x v="84"/>
    <n v="128.73754683518411"/>
    <n v="128.73754683518411"/>
    <m/>
    <m/>
    <e v="#N/A"/>
    <n v="193"/>
    <n v="85"/>
    <n v="277"/>
    <n v="276"/>
    <e v="#N/A"/>
    <s v=""/>
    <s v=""/>
    <s v=""/>
  </r>
  <r>
    <x v="1"/>
    <x v="85"/>
    <n v="127.52978503657799"/>
    <n v="127.52978503657799"/>
    <m/>
    <m/>
    <e v="#N/A"/>
    <n v="193"/>
    <n v="86"/>
    <n v="278"/>
    <n v="277"/>
    <e v="#N/A"/>
    <s v=""/>
    <s v=""/>
    <s v=""/>
  </r>
  <r>
    <x v="1"/>
    <x v="86"/>
    <n v="126.54032268212688"/>
    <n v="126.54032268212688"/>
    <m/>
    <m/>
    <e v="#N/A"/>
    <n v="193"/>
    <n v="87"/>
    <n v="279"/>
    <n v="278"/>
    <e v="#N/A"/>
    <s v=""/>
    <s v=""/>
    <s v=""/>
  </r>
  <r>
    <x v="1"/>
    <x v="87"/>
    <n v="125.79087948693582"/>
    <n v="125.79087948693582"/>
    <m/>
    <m/>
    <e v="#N/A"/>
    <n v="193"/>
    <n v="88"/>
    <n v="280"/>
    <n v="279"/>
    <e v="#N/A"/>
    <s v=""/>
    <s v=""/>
    <s v=""/>
  </r>
  <r>
    <x v="1"/>
    <x v="88"/>
    <n v="125.29967514629172"/>
    <n v="125.29967514629172"/>
    <m/>
    <m/>
    <e v="#N/A"/>
    <n v="193"/>
    <n v="89"/>
    <n v="281"/>
    <n v="280"/>
    <e v="#N/A"/>
    <s v=""/>
    <s v=""/>
    <s v=""/>
  </r>
  <r>
    <x v="1"/>
    <x v="89"/>
    <n v="125.08116365147896"/>
    <n v="125.08116365147896"/>
    <m/>
    <m/>
    <e v="#N/A"/>
    <n v="193"/>
    <n v="90"/>
    <n v="282"/>
    <n v="281"/>
    <e v="#N/A"/>
    <s v=""/>
    <s v=""/>
    <s v=""/>
  </r>
  <r>
    <x v="1"/>
    <x v="90"/>
    <n v="125.14582251803893"/>
    <n v="125.14582251803893"/>
    <m/>
    <m/>
    <e v="#N/A"/>
    <n v="193"/>
    <n v="91"/>
    <n v="283"/>
    <n v="282"/>
    <e v="#N/A"/>
    <s v=""/>
    <s v=""/>
    <s v=""/>
  </r>
  <r>
    <x v="1"/>
    <x v="91"/>
    <n v="125.5"/>
    <n v="125.5"/>
    <m/>
    <m/>
    <e v="#N/A"/>
    <n v="193"/>
    <n v="92"/>
    <n v="284"/>
    <n v="283"/>
    <e v="#N/A"/>
    <s v=""/>
    <s v=""/>
    <s v=""/>
  </r>
  <r>
    <x v="1"/>
    <x v="92"/>
    <n v="126.14582251803893"/>
    <n v="126.14582251803893"/>
    <m/>
    <m/>
    <e v="#N/A"/>
    <n v="193"/>
    <n v="93"/>
    <n v="285"/>
    <n v="284"/>
    <e v="#N/A"/>
    <s v=""/>
    <s v=""/>
    <s v=""/>
  </r>
  <r>
    <x v="1"/>
    <x v="93"/>
    <n v="127.08116365147896"/>
    <n v="127.08116365147896"/>
    <m/>
    <m/>
    <e v="#N/A"/>
    <n v="193"/>
    <n v="94"/>
    <n v="286"/>
    <n v="285"/>
    <e v="#N/A"/>
    <s v=""/>
    <s v=""/>
    <s v=""/>
  </r>
  <r>
    <x v="1"/>
    <x v="94"/>
    <n v="128.29967514629169"/>
    <n v="128.29967514629169"/>
    <m/>
    <m/>
    <e v="#N/A"/>
    <n v="193"/>
    <n v="95"/>
    <n v="287"/>
    <n v="286"/>
    <e v="#N/A"/>
    <s v=""/>
    <s v=""/>
    <s v=""/>
  </r>
  <r>
    <x v="1"/>
    <x v="95"/>
    <n v="129.79087948693581"/>
    <n v="129.79087948693581"/>
    <m/>
    <m/>
    <e v="#N/A"/>
    <n v="193"/>
    <n v="96"/>
    <n v="288"/>
    <n v="287"/>
    <e v="#N/A"/>
    <s v=""/>
    <s v=""/>
    <s v=""/>
  </r>
  <r>
    <x v="1"/>
    <x v="96"/>
    <n v="131.54032268212688"/>
    <n v="131.54032268212688"/>
    <m/>
    <m/>
    <e v="#N/A"/>
    <n v="193"/>
    <n v="97"/>
    <n v="289"/>
    <n v="288"/>
    <e v="#N/A"/>
    <s v=""/>
    <s v=""/>
    <s v=""/>
  </r>
  <r>
    <x v="1"/>
    <x v="97"/>
    <n v="133.52978503657798"/>
    <n v="133.52978503657798"/>
    <m/>
    <m/>
    <e v="#N/A"/>
    <n v="193"/>
    <n v="98"/>
    <n v="290"/>
    <n v="289"/>
    <e v="#N/A"/>
    <s v=""/>
    <s v=""/>
    <s v=""/>
  </r>
  <r>
    <x v="1"/>
    <x v="98"/>
    <n v="135.73754683518408"/>
    <n v="135.73754683518408"/>
    <m/>
    <m/>
    <e v="#N/A"/>
    <n v="193"/>
    <n v="99"/>
    <n v="291"/>
    <n v="290"/>
    <e v="#N/A"/>
    <s v=""/>
    <s v=""/>
    <s v=""/>
  </r>
  <r>
    <x v="1"/>
    <x v="99"/>
    <n v="138.13870506537688"/>
    <n v="138.13870506537688"/>
    <m/>
    <m/>
    <e v="#N/A"/>
    <n v="193"/>
    <n v="100"/>
    <n v="292"/>
    <n v="291"/>
    <e v="#N/A"/>
    <s v=""/>
    <s v=""/>
    <s v=""/>
  </r>
  <r>
    <x v="1"/>
    <x v="100"/>
    <n v="140.70553655912462"/>
    <n v="140.70553655912462"/>
    <m/>
    <m/>
    <e v="#N/A"/>
    <n v="193"/>
    <n v="101"/>
    <n v="293"/>
    <n v="292"/>
    <e v="#N/A"/>
    <s v=""/>
    <s v=""/>
    <s v=""/>
  </r>
  <r>
    <x v="1"/>
    <x v="101"/>
    <n v="143.40790225914927"/>
    <n v="143.40790225914927"/>
    <m/>
    <m/>
    <e v="#N/A"/>
    <n v="193"/>
    <n v="102"/>
    <n v="294"/>
    <n v="293"/>
    <e v="#N/A"/>
    <s v=""/>
    <s v=""/>
    <s v=""/>
  </r>
  <r>
    <x v="1"/>
    <x v="102"/>
    <n v="146.21368671424881"/>
    <n v="146.21368671424881"/>
    <m/>
    <m/>
    <e v="#N/A"/>
    <n v="193"/>
    <n v="103"/>
    <n v="295"/>
    <n v="294"/>
    <e v="#N/A"/>
    <s v=""/>
    <s v=""/>
    <s v=""/>
  </r>
  <r>
    <x v="1"/>
    <x v="103"/>
    <n v="149.08926639489351"/>
    <n v="149.08926639489351"/>
    <m/>
    <m/>
    <e v="#N/A"/>
    <n v="193"/>
    <n v="104"/>
    <n v="296"/>
    <n v="295"/>
    <e v="#N/A"/>
    <s v=""/>
    <s v=""/>
    <s v=""/>
  </r>
  <r>
    <x v="1"/>
    <x v="104"/>
    <n v="152.00000000000003"/>
    <n v="152.00000000000003"/>
    <m/>
    <m/>
    <e v="#N/A"/>
    <n v="193"/>
    <n v="105"/>
    <n v="297"/>
    <n v="296"/>
    <e v="#N/A"/>
    <s v=""/>
    <s v=""/>
    <s v=""/>
  </r>
  <r>
    <x v="1"/>
    <x v="105"/>
    <n v="154.91073360510649"/>
    <n v="154.91073360510649"/>
    <m/>
    <m/>
    <e v="#N/A"/>
    <n v="193"/>
    <n v="106"/>
    <n v="298"/>
    <n v="297"/>
    <e v="#N/A"/>
    <s v=""/>
    <s v=""/>
    <s v=""/>
  </r>
  <r>
    <x v="1"/>
    <x v="106"/>
    <n v="157.78631328575116"/>
    <n v="157.78631328575116"/>
    <m/>
    <m/>
    <e v="#N/A"/>
    <n v="193"/>
    <n v="107"/>
    <n v="299"/>
    <n v="298"/>
    <e v="#N/A"/>
    <s v=""/>
    <s v=""/>
    <s v=""/>
  </r>
  <r>
    <x v="1"/>
    <x v="107"/>
    <n v="160.5920977408507"/>
    <n v="160.5920977408507"/>
    <m/>
    <m/>
    <e v="#N/A"/>
    <n v="193"/>
    <n v="108"/>
    <n v="300"/>
    <n v="299"/>
    <e v="#N/A"/>
    <s v=""/>
    <s v=""/>
    <s v=""/>
  </r>
  <r>
    <x v="1"/>
    <x v="108"/>
    <n v="163.29446344087535"/>
    <n v="163.29446344087535"/>
    <m/>
    <m/>
    <e v="#N/A"/>
    <n v="193"/>
    <n v="109"/>
    <n v="301"/>
    <n v="300"/>
    <e v="#N/A"/>
    <s v=""/>
    <s v=""/>
    <s v=""/>
  </r>
  <r>
    <x v="1"/>
    <x v="109"/>
    <n v="165.86129493462309"/>
    <n v="165.86129493462309"/>
    <m/>
    <m/>
    <e v="#N/A"/>
    <n v="193"/>
    <n v="110"/>
    <n v="302"/>
    <n v="301"/>
    <e v="#N/A"/>
    <s v=""/>
    <s v=""/>
    <s v=""/>
  </r>
  <r>
    <x v="1"/>
    <x v="110"/>
    <n v="168.26245316481589"/>
    <n v="168.26245316481589"/>
    <m/>
    <m/>
    <e v="#N/A"/>
    <n v="193"/>
    <n v="111"/>
    <n v="303"/>
    <n v="302"/>
    <e v="#N/A"/>
    <s v=""/>
    <s v=""/>
    <s v=""/>
  </r>
  <r>
    <x v="1"/>
    <x v="111"/>
    <n v="170.47021496342202"/>
    <n v="170.47021496342202"/>
    <m/>
    <m/>
    <e v="#N/A"/>
    <n v="193"/>
    <n v="112"/>
    <n v="304"/>
    <n v="303"/>
    <e v="#N/A"/>
    <s v=""/>
    <s v=""/>
    <s v=""/>
  </r>
  <r>
    <x v="1"/>
    <x v="112"/>
    <n v="172.45967731787312"/>
    <n v="172.45967731787312"/>
    <m/>
    <m/>
    <e v="#N/A"/>
    <n v="193"/>
    <n v="113"/>
    <n v="305"/>
    <n v="304"/>
    <e v="#N/A"/>
    <s v=""/>
    <s v=""/>
    <s v=""/>
  </r>
  <r>
    <x v="1"/>
    <x v="113"/>
    <n v="174.20912051306419"/>
    <n v="174.20912051306419"/>
    <m/>
    <m/>
    <e v="#N/A"/>
    <n v="193"/>
    <n v="114"/>
    <n v="306"/>
    <n v="305"/>
    <e v="#N/A"/>
    <s v=""/>
    <s v=""/>
    <s v=""/>
  </r>
  <r>
    <x v="1"/>
    <x v="114"/>
    <n v="175.70032485370828"/>
    <n v="175.70032485370828"/>
    <m/>
    <m/>
    <e v="#N/A"/>
    <n v="193"/>
    <n v="115"/>
    <n v="307"/>
    <n v="306"/>
    <e v="#N/A"/>
    <s v=""/>
    <s v=""/>
    <s v=""/>
  </r>
  <r>
    <x v="1"/>
    <x v="115"/>
    <n v="176.91883634852104"/>
    <n v="176.91883634852104"/>
    <m/>
    <m/>
    <e v="#N/A"/>
    <n v="193"/>
    <n v="116"/>
    <n v="308"/>
    <n v="307"/>
    <e v="#N/A"/>
    <s v=""/>
    <s v=""/>
    <s v=""/>
  </r>
  <r>
    <x v="1"/>
    <x v="116"/>
    <n v="177.85417748196107"/>
    <n v="177.85417748196107"/>
    <m/>
    <m/>
    <e v="#N/A"/>
    <n v="193"/>
    <n v="117"/>
    <n v="309"/>
    <n v="308"/>
    <e v="#N/A"/>
    <s v=""/>
    <s v=""/>
    <s v=""/>
  </r>
  <r>
    <x v="1"/>
    <x v="117"/>
    <n v="178.5"/>
    <n v="178.5"/>
    <m/>
    <m/>
    <e v="#N/A"/>
    <n v="193"/>
    <n v="118"/>
    <n v="310"/>
    <n v="309"/>
    <e v="#N/A"/>
    <s v=""/>
    <s v=""/>
    <s v=""/>
  </r>
  <r>
    <x v="1"/>
    <x v="118"/>
    <n v="178.85417748196107"/>
    <n v="178.85417748196107"/>
    <m/>
    <m/>
    <e v="#N/A"/>
    <n v="193"/>
    <n v="119"/>
    <n v="311"/>
    <n v="310"/>
    <e v="#N/A"/>
    <s v=""/>
    <s v=""/>
    <s v=""/>
  </r>
  <r>
    <x v="1"/>
    <x v="119"/>
    <n v="178.91883634852104"/>
    <n v="178.91883634852104"/>
    <m/>
    <m/>
    <e v="#N/A"/>
    <n v="193"/>
    <n v="120"/>
    <n v="312"/>
    <n v="311"/>
    <e v="#N/A"/>
    <s v=""/>
    <s v=""/>
    <s v=""/>
  </r>
  <r>
    <x v="1"/>
    <x v="120"/>
    <n v="178.70032485370831"/>
    <n v="178.70032485370831"/>
    <m/>
    <m/>
    <e v="#N/A"/>
    <n v="193"/>
    <n v="121"/>
    <n v="313"/>
    <n v="312"/>
    <e v="#N/A"/>
    <s v=""/>
    <s v=""/>
    <s v=""/>
  </r>
  <r>
    <x v="1"/>
    <x v="121"/>
    <n v="178.20912051306419"/>
    <n v="178.20912051306419"/>
    <m/>
    <m/>
    <e v="#N/A"/>
    <n v="193"/>
    <n v="122"/>
    <n v="314"/>
    <n v="313"/>
    <e v="#N/A"/>
    <s v=""/>
    <s v=""/>
    <s v=""/>
  </r>
  <r>
    <x v="1"/>
    <x v="122"/>
    <n v="177.45967731787312"/>
    <n v="177.45967731787312"/>
    <m/>
    <m/>
    <e v="#N/A"/>
    <n v="193"/>
    <n v="123"/>
    <n v="315"/>
    <n v="314"/>
    <e v="#N/A"/>
    <s v=""/>
    <s v=""/>
    <s v=""/>
  </r>
  <r>
    <x v="1"/>
    <x v="123"/>
    <n v="176.47021496342202"/>
    <n v="176.47021496342202"/>
    <m/>
    <m/>
    <e v="#N/A"/>
    <n v="193"/>
    <n v="124"/>
    <n v="316"/>
    <n v="315"/>
    <e v="#N/A"/>
    <s v=""/>
    <s v=""/>
    <s v=""/>
  </r>
  <r>
    <x v="1"/>
    <x v="124"/>
    <n v="175.26245316481592"/>
    <n v="175.26245316481592"/>
    <m/>
    <m/>
    <e v="#N/A"/>
    <n v="193"/>
    <n v="125"/>
    <n v="317"/>
    <n v="316"/>
    <e v="#N/A"/>
    <s v=""/>
    <s v=""/>
    <s v=""/>
  </r>
  <r>
    <x v="1"/>
    <x v="125"/>
    <n v="173.86129493462315"/>
    <n v="173.86129493462315"/>
    <m/>
    <m/>
    <e v="#N/A"/>
    <n v="193"/>
    <n v="126"/>
    <n v="318"/>
    <n v="317"/>
    <e v="#N/A"/>
    <s v=""/>
    <s v=""/>
    <s v=""/>
  </r>
  <r>
    <x v="1"/>
    <x v="126"/>
    <n v="172.29446344087538"/>
    <n v="172.29446344087538"/>
    <m/>
    <m/>
    <e v="#N/A"/>
    <n v="193"/>
    <n v="127"/>
    <n v="319"/>
    <n v="318"/>
    <e v="#N/A"/>
    <s v=""/>
    <s v=""/>
    <s v=""/>
  </r>
  <r>
    <x v="1"/>
    <x v="127"/>
    <n v="170.59209774085073"/>
    <n v="170.59209774085073"/>
    <m/>
    <m/>
    <e v="#N/A"/>
    <n v="193"/>
    <n v="128"/>
    <n v="320"/>
    <n v="319"/>
    <e v="#N/A"/>
    <s v=""/>
    <s v=""/>
    <s v=""/>
  </r>
  <r>
    <x v="1"/>
    <x v="128"/>
    <n v="168.78631328575119"/>
    <n v="168.78631328575119"/>
    <m/>
    <m/>
    <e v="#N/A"/>
    <n v="193"/>
    <n v="129"/>
    <n v="321"/>
    <n v="320"/>
    <e v="#N/A"/>
    <s v=""/>
    <s v=""/>
    <s v=""/>
  </r>
  <r>
    <x v="1"/>
    <x v="129"/>
    <n v="166.91073360510649"/>
    <n v="166.91073360510649"/>
    <m/>
    <m/>
    <e v="#N/A"/>
    <n v="193"/>
    <n v="130"/>
    <n v="322"/>
    <n v="321"/>
    <e v="#N/A"/>
    <s v=""/>
    <s v=""/>
    <s v=""/>
  </r>
  <r>
    <x v="1"/>
    <x v="130"/>
    <n v="165"/>
    <n v="165"/>
    <m/>
    <m/>
    <e v="#N/A"/>
    <n v="193"/>
    <n v="131"/>
    <n v="323"/>
    <n v="322"/>
    <e v="#N/A"/>
    <s v=""/>
    <s v=""/>
    <s v=""/>
  </r>
  <r>
    <x v="1"/>
    <x v="131"/>
    <n v="163.08926639489351"/>
    <n v="163.08926639489351"/>
    <m/>
    <m/>
    <e v="#N/A"/>
    <n v="193"/>
    <n v="132"/>
    <n v="324"/>
    <n v="323"/>
    <e v="#N/A"/>
    <s v=""/>
    <s v=""/>
    <s v=""/>
  </r>
  <r>
    <x v="1"/>
    <x v="132"/>
    <n v="161.21368671424884"/>
    <n v="161.21368671424884"/>
    <m/>
    <m/>
    <e v="#N/A"/>
    <n v="193"/>
    <n v="133"/>
    <n v="325"/>
    <n v="324"/>
    <e v="#N/A"/>
    <s v=""/>
    <s v=""/>
    <s v=""/>
  </r>
  <r>
    <x v="1"/>
    <x v="133"/>
    <n v="159.4079022591493"/>
    <n v="159.4079022591493"/>
    <m/>
    <m/>
    <e v="#N/A"/>
    <n v="193"/>
    <n v="134"/>
    <n v="326"/>
    <n v="325"/>
    <e v="#N/A"/>
    <s v=""/>
    <s v=""/>
    <s v=""/>
  </r>
  <r>
    <x v="1"/>
    <x v="134"/>
    <n v="157.70553655912462"/>
    <n v="157.70553655912462"/>
    <m/>
    <m/>
    <e v="#N/A"/>
    <n v="193"/>
    <n v="135"/>
    <n v="327"/>
    <n v="326"/>
    <e v="#N/A"/>
    <s v=""/>
    <s v=""/>
    <s v=""/>
  </r>
  <r>
    <x v="1"/>
    <x v="135"/>
    <n v="156.13870506537691"/>
    <n v="156.13870506537691"/>
    <m/>
    <m/>
    <e v="#N/A"/>
    <n v="193"/>
    <n v="136"/>
    <n v="328"/>
    <n v="327"/>
    <e v="#N/A"/>
    <s v=""/>
    <s v=""/>
    <s v=""/>
  </r>
  <r>
    <x v="1"/>
    <x v="136"/>
    <n v="154.73754683518411"/>
    <n v="154.73754683518411"/>
    <m/>
    <m/>
    <e v="#N/A"/>
    <n v="193"/>
    <n v="137"/>
    <n v="329"/>
    <n v="328"/>
    <e v="#N/A"/>
    <s v=""/>
    <s v=""/>
    <s v=""/>
  </r>
  <r>
    <x v="1"/>
    <x v="137"/>
    <n v="153.52978503657798"/>
    <n v="153.52978503657798"/>
    <m/>
    <m/>
    <e v="#N/A"/>
    <n v="193"/>
    <n v="138"/>
    <n v="330"/>
    <n v="329"/>
    <e v="#N/A"/>
    <s v=""/>
    <s v=""/>
    <s v=""/>
  </r>
  <r>
    <x v="1"/>
    <x v="138"/>
    <n v="152.54032268212688"/>
    <n v="152.54032268212688"/>
    <m/>
    <m/>
    <e v="#N/A"/>
    <n v="193"/>
    <n v="139"/>
    <n v="331"/>
    <n v="330"/>
    <e v="#N/A"/>
    <s v=""/>
    <s v=""/>
    <s v=""/>
  </r>
  <r>
    <x v="1"/>
    <x v="139"/>
    <n v="151.79087948693581"/>
    <n v="151.79087948693581"/>
    <m/>
    <m/>
    <e v="#N/A"/>
    <n v="193"/>
    <n v="140"/>
    <n v="332"/>
    <n v="331"/>
    <e v="#N/A"/>
    <s v=""/>
    <s v=""/>
    <s v=""/>
  </r>
  <r>
    <x v="1"/>
    <x v="140"/>
    <n v="151.29967514629172"/>
    <n v="151.29967514629172"/>
    <m/>
    <m/>
    <e v="#N/A"/>
    <n v="193"/>
    <n v="141"/>
    <n v="333"/>
    <n v="332"/>
    <e v="#N/A"/>
    <s v=""/>
    <s v=""/>
    <s v=""/>
  </r>
  <r>
    <x v="1"/>
    <x v="141"/>
    <n v="151.08116365147896"/>
    <n v="151.08116365147896"/>
    <m/>
    <m/>
    <e v="#N/A"/>
    <n v="193"/>
    <n v="142"/>
    <n v="334"/>
    <n v="333"/>
    <e v="#N/A"/>
    <s v=""/>
    <s v=""/>
    <s v=""/>
  </r>
  <r>
    <x v="1"/>
    <x v="142"/>
    <n v="151.14582251803893"/>
    <n v="151.14582251803893"/>
    <m/>
    <m/>
    <e v="#N/A"/>
    <n v="193"/>
    <n v="143"/>
    <n v="335"/>
    <n v="334"/>
    <e v="#N/A"/>
    <s v=""/>
    <s v=""/>
    <s v=""/>
  </r>
  <r>
    <x v="1"/>
    <x v="143"/>
    <n v="151.5"/>
    <n v="151.5"/>
    <m/>
    <m/>
    <e v="#N/A"/>
    <n v="193"/>
    <n v="144"/>
    <n v="336"/>
    <n v="335"/>
    <e v="#N/A"/>
    <s v=""/>
    <s v=""/>
    <s v=""/>
  </r>
  <r>
    <x v="1"/>
    <x v="144"/>
    <n v="152.14582251803893"/>
    <n v="152.14582251803893"/>
    <m/>
    <m/>
    <e v="#N/A"/>
    <n v="193"/>
    <n v="145"/>
    <n v="337"/>
    <n v="336"/>
    <e v="#N/A"/>
    <s v=""/>
    <s v=""/>
    <s v=""/>
  </r>
  <r>
    <x v="1"/>
    <x v="145"/>
    <n v="153.08116365147896"/>
    <n v="153.08116365147896"/>
    <m/>
    <m/>
    <e v="#N/A"/>
    <n v="193"/>
    <n v="146"/>
    <n v="338"/>
    <n v="337"/>
    <e v="#N/A"/>
    <s v=""/>
    <s v=""/>
    <s v=""/>
  </r>
  <r>
    <x v="1"/>
    <x v="146"/>
    <n v="154.29967514629169"/>
    <n v="154.29967514629169"/>
    <m/>
    <m/>
    <e v="#N/A"/>
    <n v="193"/>
    <n v="147"/>
    <n v="339"/>
    <n v="338"/>
    <e v="#N/A"/>
    <s v=""/>
    <s v=""/>
    <s v=""/>
  </r>
  <r>
    <x v="1"/>
    <x v="147"/>
    <n v="155.79087948693581"/>
    <n v="155.79087948693581"/>
    <m/>
    <m/>
    <e v="#N/A"/>
    <n v="193"/>
    <n v="148"/>
    <n v="340"/>
    <n v="339"/>
    <e v="#N/A"/>
    <s v=""/>
    <s v=""/>
    <s v=""/>
  </r>
  <r>
    <x v="1"/>
    <x v="148"/>
    <n v="157.54032268212688"/>
    <n v="157.54032268212688"/>
    <m/>
    <m/>
    <e v="#N/A"/>
    <n v="193"/>
    <n v="149"/>
    <n v="341"/>
    <n v="340"/>
    <e v="#N/A"/>
    <s v=""/>
    <s v=""/>
    <s v=""/>
  </r>
  <r>
    <x v="1"/>
    <x v="149"/>
    <n v="159.52978503657795"/>
    <n v="159.52978503657795"/>
    <m/>
    <m/>
    <e v="#N/A"/>
    <n v="193"/>
    <n v="150"/>
    <n v="342"/>
    <n v="341"/>
    <e v="#N/A"/>
    <s v=""/>
    <s v=""/>
    <s v=""/>
  </r>
  <r>
    <x v="1"/>
    <x v="150"/>
    <n v="161.73754683518408"/>
    <n v="161.73754683518408"/>
    <m/>
    <m/>
    <e v="#N/A"/>
    <n v="193"/>
    <n v="151"/>
    <n v="343"/>
    <n v="342"/>
    <e v="#N/A"/>
    <s v=""/>
    <s v=""/>
    <s v=""/>
  </r>
  <r>
    <x v="1"/>
    <x v="151"/>
    <n v="164.13870506537688"/>
    <n v="164.13870506537688"/>
    <m/>
    <m/>
    <e v="#N/A"/>
    <n v="193"/>
    <n v="152"/>
    <n v="344"/>
    <n v="343"/>
    <e v="#N/A"/>
    <s v=""/>
    <s v=""/>
    <s v=""/>
  </r>
  <r>
    <x v="1"/>
    <x v="152"/>
    <n v="166.7055365591246"/>
    <n v="166.7055365591246"/>
    <m/>
    <m/>
    <e v="#N/A"/>
    <n v="193"/>
    <n v="153"/>
    <n v="345"/>
    <n v="344"/>
    <e v="#N/A"/>
    <s v=""/>
    <s v=""/>
    <s v=""/>
  </r>
  <r>
    <x v="1"/>
    <x v="153"/>
    <n v="169.40790225914927"/>
    <n v="169.40790225914927"/>
    <m/>
    <m/>
    <e v="#N/A"/>
    <n v="193"/>
    <n v="154"/>
    <n v="346"/>
    <n v="345"/>
    <e v="#N/A"/>
    <s v=""/>
    <s v=""/>
    <s v=""/>
  </r>
  <r>
    <x v="1"/>
    <x v="154"/>
    <n v="172.21368671424887"/>
    <n v="172.21368671424887"/>
    <m/>
    <m/>
    <e v="#N/A"/>
    <n v="193"/>
    <n v="155"/>
    <n v="347"/>
    <n v="346"/>
    <e v="#N/A"/>
    <s v=""/>
    <s v=""/>
    <s v=""/>
  </r>
  <r>
    <x v="1"/>
    <x v="155"/>
    <n v="175.08926639489351"/>
    <n v="175.08926639489351"/>
    <m/>
    <m/>
    <e v="#N/A"/>
    <n v="193"/>
    <n v="156"/>
    <n v="348"/>
    <n v="347"/>
    <e v="#N/A"/>
    <s v=""/>
    <s v=""/>
    <s v=""/>
  </r>
  <r>
    <x v="1"/>
    <x v="156"/>
    <n v="177.99999999999997"/>
    <m/>
    <n v="177.99999999999997"/>
    <n v="178.00180068982681"/>
    <n v="163.02789337406588"/>
    <n v="193"/>
    <s v=""/>
    <n v="348"/>
    <n v="348"/>
    <n v="178.00000000000003"/>
    <n v="5.6843418860808015E-14"/>
    <n v="1.8006898268367877E-3"/>
    <n v="14.972106625934089"/>
  </r>
  <r>
    <x v="1"/>
    <x v="157"/>
    <n v="180.9107336051064"/>
    <m/>
    <n v="180.9107336051064"/>
    <n v="180.91662980275092"/>
    <n v="165.49742267970871"/>
    <n v="193"/>
    <s v=""/>
    <n v="348"/>
    <n v="349"/>
    <n v="180.91073360510646"/>
    <n v="5.6843418860808015E-14"/>
    <n v="5.8961976445175424E-3"/>
    <n v="15.413310925397695"/>
  </r>
  <r>
    <x v="1"/>
    <x v="158"/>
    <n v="183.78631328575119"/>
    <m/>
    <n v="183.78631328575119"/>
    <n v="183.79705735091292"/>
    <n v="168.11645764947491"/>
    <n v="193"/>
    <s v=""/>
    <n v="348"/>
    <n v="350"/>
    <n v="183.78631328575113"/>
    <n v="5.6843418860808015E-14"/>
    <n v="1.0744065161730987E-2"/>
    <n v="15.669855636276282"/>
  </r>
  <r>
    <x v="1"/>
    <x v="159"/>
    <n v="186.5920977408507"/>
    <m/>
    <n v="186.5920977408507"/>
    <n v="186.60869625903331"/>
    <n v="170.85409798185407"/>
    <n v="193"/>
    <s v=""/>
    <n v="348"/>
    <n v="351"/>
    <n v="186.5920977408507"/>
    <n v="0"/>
    <n v="1.6598518182604494E-2"/>
    <n v="15.737999758996637"/>
  </r>
  <r>
    <x v="1"/>
    <x v="160"/>
    <n v="189.29446344087538"/>
    <m/>
    <n v="189.29446344087538"/>
    <n v="189.31760719579842"/>
    <n v="173.67771384207293"/>
    <n v="193"/>
    <s v=""/>
    <n v="348"/>
    <n v="352"/>
    <n v="189.29446344087535"/>
    <n v="2.8421709430404007E-14"/>
    <n v="2.314375492304066E-2"/>
    <n v="15.616749598802443"/>
  </r>
  <r>
    <x v="1"/>
    <x v="161"/>
    <n v="191.86129493462309"/>
    <m/>
    <n v="191.86129493462309"/>
    <n v="191.89137301053438"/>
    <n v="176.55342167856219"/>
    <n v="193"/>
    <s v=""/>
    <n v="348"/>
    <n v="353"/>
    <n v="191.86129493462312"/>
    <n v="2.8421709430404007E-14"/>
    <n v="3.007807591129108E-2"/>
    <n v="15.307873256060901"/>
  </r>
  <r>
    <x v="1"/>
    <x v="162"/>
    <n v="194.26245316481589"/>
    <m/>
    <n v="194.26245316481589"/>
    <n v="194.29947741417934"/>
    <n v="179.44657832143776"/>
    <n v="193"/>
    <s v=""/>
    <n v="348"/>
    <n v="354"/>
    <n v="194.26245316481589"/>
    <n v="0"/>
    <n v="3.7024249363440731E-2"/>
    <n v="14.81587484337814"/>
  </r>
  <r>
    <x v="1"/>
    <x v="163"/>
    <n v="196.47021496342199"/>
    <m/>
    <n v="196.47021496342199"/>
    <n v="196.51377080034959"/>
    <n v="182.32228615792707"/>
    <n v="193"/>
    <s v=""/>
    <n v="348"/>
    <n v="355"/>
    <n v="196.47021496342202"/>
    <n v="2.8421709430404007E-14"/>
    <n v="4.3555836927595237E-2"/>
    <n v="14.147928805494928"/>
  </r>
  <r>
    <x v="1"/>
    <x v="164"/>
    <n v="198.45967731787312"/>
    <m/>
    <n v="198.45967731787312"/>
    <n v="198.50930117425276"/>
    <n v="185.1459020181459"/>
    <n v="193"/>
    <s v=""/>
    <n v="348"/>
    <n v="356"/>
    <n v="198.45967731787312"/>
    <n v="0"/>
    <n v="4.9623856379639619E-2"/>
    <n v="13.313775299727212"/>
  </r>
  <r>
    <x v="1"/>
    <x v="165"/>
    <n v="200.20912051306416"/>
    <m/>
    <n v="200.20912051306416"/>
    <n v="200.26470584832813"/>
    <n v="187.88354235052509"/>
    <n v="193"/>
    <s v=""/>
    <n v="348"/>
    <n v="357"/>
    <n v="200.20912051306419"/>
    <n v="2.8421709430404007E-14"/>
    <n v="5.5585335263970137E-2"/>
    <n v="12.325578162539074"/>
  </r>
  <r>
    <x v="1"/>
    <x v="166"/>
    <n v="201.70032485370831"/>
    <m/>
    <n v="201.70032485370831"/>
    <n v="201.76212785897548"/>
    <n v="190.50257732029127"/>
    <n v="193"/>
    <s v=""/>
    <n v="348"/>
    <n v="358"/>
    <n v="201.70032485370831"/>
    <n v="0"/>
    <n v="6.1803005267165645E-2"/>
    <n v="11.197747533417044"/>
  </r>
  <r>
    <x v="1"/>
    <x v="167"/>
    <n v="202.91883634852104"/>
    <m/>
    <n v="202.91883634852104"/>
    <n v="202.98826646552664"/>
    <n v="192.97210662593409"/>
    <n v="193"/>
    <s v=""/>
    <n v="348"/>
    <n v="359"/>
    <n v="202.91883634852104"/>
    <n v="0"/>
    <n v="6.9430117005595093E-2"/>
    <n v="9.9467297225869515"/>
  </r>
  <r>
    <x v="1"/>
    <x v="168"/>
    <n v="203.85417748196107"/>
    <m/>
    <n v="203.85417748196107"/>
    <n v="203.93284474332839"/>
    <n v="195.26341009518353"/>
    <n v="193"/>
    <s v=""/>
    <n v="348"/>
    <n v="360"/>
    <n v="203.85417748196107"/>
    <n v="0"/>
    <n v="7.8667261367314723E-2"/>
    <n v="8.5907673867775429"/>
  </r>
  <r>
    <x v="1"/>
    <x v="169"/>
    <n v="204.5"/>
    <m/>
    <n v="204.5"/>
    <n v="204.59036510065312"/>
    <n v="197.35036648979377"/>
    <n v="193"/>
    <s v=""/>
    <n v="348"/>
    <n v="361"/>
    <n v="204.5"/>
    <n v="0"/>
    <n v="9.0365100653116315E-2"/>
    <n v="7.1496335102062289"/>
  </r>
  <r>
    <x v="1"/>
    <x v="170"/>
    <n v="204.85417748196107"/>
    <m/>
    <n v="204.85417748196107"/>
    <n v="204.95848559316514"/>
    <n v="199.2098344120169"/>
    <n v="193"/>
    <s v=""/>
    <n v="348"/>
    <n v="362"/>
    <n v="204.85417748196107"/>
    <n v="0"/>
    <n v="0.10430811120406247"/>
    <n v="5.6443430699441706"/>
  </r>
  <r>
    <x v="1"/>
    <x v="171"/>
    <n v="204.91883634852104"/>
    <m/>
    <n v="204.91883634852104"/>
    <n v="205.04005786844166"/>
    <n v="200.82198975829166"/>
    <n v="193"/>
    <s v=""/>
    <n v="348"/>
    <n v="363"/>
    <n v="204.91883634852104"/>
    <n v="0"/>
    <n v="0.12122151992062413"/>
    <n v="4.0968465902293758"/>
  </r>
  <r>
    <x v="1"/>
    <x v="172"/>
    <n v="204.70032485370831"/>
    <m/>
    <n v="204.70032485370831"/>
    <n v="204.84141565105966"/>
    <n v="202.17061479931365"/>
    <n v="193"/>
    <s v=""/>
    <n v="348"/>
    <n v="364"/>
    <n v="204.70032485370831"/>
    <n v="0"/>
    <n v="0.1410907973513531"/>
    <n v="2.5297100543946556"/>
  </r>
  <r>
    <x v="1"/>
    <x v="173"/>
    <n v="204.20912051306422"/>
    <m/>
    <n v="204.20912051306422"/>
    <n v="204.3730873265493"/>
    <n v="203.24333467104759"/>
    <n v="193"/>
    <s v=""/>
    <n v="348"/>
    <n v="365"/>
    <n v="204.20912051306419"/>
    <n v="2.8421709430404007E-14"/>
    <n v="0.16396681348507514"/>
    <n v="0.9657858420166292"/>
  </r>
  <r>
    <x v="1"/>
    <x v="174"/>
    <n v="203.45967731787317"/>
    <m/>
    <n v="203.45967731787317"/>
    <n v="203.64841396218767"/>
    <n v="204.0317978281108"/>
    <n v="193"/>
    <s v=""/>
    <n v="348"/>
    <n v="366"/>
    <n v="203.45967731787314"/>
    <n v="2.8421709430404007E-14"/>
    <n v="0.18873664431450266"/>
    <n v="0.57212051023762456"/>
  </r>
  <r>
    <x v="1"/>
    <x v="175"/>
    <n v="202.47021496342205"/>
    <m/>
    <n v="202.47021496342205"/>
    <n v="202.68426278325776"/>
    <n v="204.5317978281108"/>
    <n v="193"/>
    <s v=""/>
    <n v="348"/>
    <n v="367"/>
    <n v="202.47021496342202"/>
    <n v="2.8421709430404007E-14"/>
    <n v="0.21404781983571297"/>
    <n v="2.0615828646887451"/>
  </r>
  <r>
    <x v="1"/>
    <x v="176"/>
    <n v="201.26245316481598"/>
    <m/>
    <n v="201.26245316481598"/>
    <n v="201.50090105096166"/>
    <n v="204.74333467104759"/>
    <n v="193"/>
    <s v=""/>
    <n v="348"/>
    <n v="368"/>
    <n v="201.26245316481592"/>
    <n v="5.6843418860808015E-14"/>
    <n v="0.23844788614567847"/>
    <n v="3.4808815062316114"/>
  </r>
  <r>
    <x v="1"/>
    <x v="177"/>
    <n v="199.86129493462312"/>
    <m/>
    <n v="199.86129493462312"/>
    <n v="200.12190396907459"/>
    <n v="204.67061479931365"/>
    <n v="193"/>
    <s v=""/>
    <n v="348"/>
    <n v="369"/>
    <n v="199.86129493462315"/>
    <n v="2.8421709430404007E-14"/>
    <n v="0.26060903445147687"/>
    <n v="4.8093198646905364"/>
  </r>
  <r>
    <x v="1"/>
    <x v="178"/>
    <n v="198.29446344087535"/>
    <m/>
    <n v="198.29446344087535"/>
    <n v="198.57386198898905"/>
    <n v="204.32198975829169"/>
    <n v="193"/>
    <s v=""/>
    <n v="348"/>
    <n v="370"/>
    <n v="198.29446344087538"/>
    <n v="2.8421709430404007E-14"/>
    <n v="0.27939854811370424"/>
    <n v="6.0275263174163456"/>
  </r>
  <r>
    <x v="1"/>
    <x v="179"/>
    <n v="196.59209774085073"/>
    <m/>
    <n v="196.59209774085073"/>
    <n v="196.88562376273305"/>
    <n v="203.7098344120169"/>
    <n v="193"/>
    <s v=""/>
    <n v="348"/>
    <n v="371"/>
    <n v="196.59209774085073"/>
    <n v="0"/>
    <n v="0.29352602188231458"/>
    <n v="7.1177366711661705"/>
  </r>
  <r>
    <x v="1"/>
    <x v="180"/>
    <n v="194.78631328575116"/>
    <m/>
    <n v="194.78631328575116"/>
    <n v="195.08832563086179"/>
    <n v="202.85036648979383"/>
    <n v="193"/>
    <s v=""/>
    <n v="348"/>
    <n v="372"/>
    <n v="194.78631328575116"/>
    <n v="0"/>
    <n v="0.3020123451106258"/>
    <n v="8.0640532040426649"/>
  </r>
  <r>
    <x v="1"/>
    <x v="181"/>
    <n v="192.91073360510651"/>
    <m/>
    <n v="192.91073360510651"/>
    <n v="193.21529382004616"/>
    <n v="201.76341009518359"/>
    <n v="193"/>
    <s v=""/>
    <n v="348"/>
    <n v="373"/>
    <n v="192.91073360510646"/>
    <n v="5.6843418860808015E-14"/>
    <n v="0.30456021493964158"/>
    <n v="8.8526764900770729"/>
  </r>
  <r>
    <x v="2"/>
    <x v="0"/>
    <n v="109.93428306022466"/>
    <n v="109.93428306022466"/>
    <m/>
    <m/>
    <e v="#N/A"/>
    <n v="375"/>
    <n v="1"/>
    <n v="375"/>
    <n v="374"/>
    <e v="#N/A"/>
    <s v=""/>
    <s v=""/>
    <s v=""/>
  </r>
  <r>
    <x v="2"/>
    <x v="1"/>
    <n v="100.14544758168276"/>
    <n v="100.14544758168276"/>
    <m/>
    <m/>
    <e v="#N/A"/>
    <n v="375"/>
    <n v="2"/>
    <n v="376"/>
    <n v="375"/>
    <e v="#N/A"/>
    <s v=""/>
    <s v=""/>
    <s v=""/>
  </r>
  <r>
    <x v="2"/>
    <x v="2"/>
    <n v="118.740084047765"/>
    <n v="118.740084047765"/>
    <m/>
    <m/>
    <e v="#N/A"/>
    <n v="375"/>
    <n v="3"/>
    <n v="377"/>
    <n v="376"/>
    <e v="#N/A"/>
    <s v=""/>
    <s v=""/>
    <s v=""/>
  </r>
  <r>
    <x v="2"/>
    <x v="3"/>
    <n v="139.05269486901122"/>
    <n v="139.05269486901122"/>
    <m/>
    <m/>
    <e v="#N/A"/>
    <n v="375"/>
    <n v="4"/>
    <n v="378"/>
    <n v="377"/>
    <e v="#N/A"/>
    <s v=""/>
    <s v=""/>
    <s v=""/>
  </r>
  <r>
    <x v="2"/>
    <x v="4"/>
    <n v="106.61139594640866"/>
    <n v="106.61139594640866"/>
    <m/>
    <m/>
    <e v="#N/A"/>
    <n v="375"/>
    <n v="5"/>
    <n v="379"/>
    <n v="378"/>
    <e v="#N/A"/>
    <s v=""/>
    <s v=""/>
    <s v=""/>
  </r>
  <r>
    <x v="2"/>
    <x v="5"/>
    <n v="109.17855579563951"/>
    <n v="109.17855579563951"/>
    <m/>
    <m/>
    <e v="#N/A"/>
    <n v="375"/>
    <n v="6"/>
    <n v="380"/>
    <n v="379"/>
    <e v="#N/A"/>
    <s v=""/>
    <s v=""/>
    <s v=""/>
  </r>
  <r>
    <x v="2"/>
    <x v="6"/>
    <n v="147.84670947496375"/>
    <n v="147.84670947496375"/>
    <m/>
    <m/>
    <e v="#N/A"/>
    <n v="375"/>
    <n v="7"/>
    <n v="381"/>
    <n v="380"/>
    <e v="#N/A"/>
    <s v=""/>
    <s v=""/>
    <s v=""/>
  </r>
  <r>
    <x v="2"/>
    <x v="7"/>
    <n v="133.8189095464802"/>
    <n v="133.8189095464802"/>
    <m/>
    <m/>
    <e v="#N/A"/>
    <n v="375"/>
    <n v="8"/>
    <n v="382"/>
    <n v="381"/>
    <e v="#N/A"/>
    <s v=""/>
    <s v=""/>
    <s v=""/>
  </r>
  <r>
    <x v="2"/>
    <x v="8"/>
    <n v="111.07018959917409"/>
    <n v="111.07018959917409"/>
    <m/>
    <m/>
    <e v="#N/A"/>
    <n v="375"/>
    <n v="9"/>
    <n v="383"/>
    <n v="382"/>
    <e v="#N/A"/>
    <s v=""/>
    <s v=""/>
    <s v=""/>
  </r>
  <r>
    <x v="2"/>
    <x v="9"/>
    <n v="133.06032138478349"/>
    <n v="133.06032138478349"/>
    <m/>
    <m/>
    <e v="#N/A"/>
    <n v="375"/>
    <n v="10"/>
    <n v="384"/>
    <n v="383"/>
    <e v="#N/A"/>
    <s v=""/>
    <s v=""/>
    <s v=""/>
  </r>
  <r>
    <x v="2"/>
    <x v="10"/>
    <n v="114.43197099745905"/>
    <n v="114.43197099745905"/>
    <m/>
    <m/>
    <e v="#N/A"/>
    <n v="375"/>
    <n v="11"/>
    <n v="385"/>
    <n v="384"/>
    <e v="#N/A"/>
    <s v=""/>
    <s v=""/>
    <s v=""/>
  </r>
  <r>
    <x v="2"/>
    <x v="11"/>
    <n v="115.6042412771159"/>
    <n v="115.6042412771159"/>
    <m/>
    <m/>
    <e v="#N/A"/>
    <n v="375"/>
    <n v="12"/>
    <n v="386"/>
    <n v="385"/>
    <e v="#N/A"/>
    <s v=""/>
    <s v=""/>
    <s v=""/>
  </r>
  <r>
    <x v="2"/>
    <x v="12"/>
    <n v="130.69342291328175"/>
    <n v="130.69342291328175"/>
    <m/>
    <m/>
    <e v="#N/A"/>
    <n v="375"/>
    <n v="13"/>
    <n v="387"/>
    <n v="386"/>
    <e v="#N/A"/>
    <s v=""/>
    <s v=""/>
    <s v=""/>
  </r>
  <r>
    <x v="2"/>
    <x v="13"/>
    <n v="88.234395106844033"/>
    <n v="88.234395106844033"/>
    <m/>
    <m/>
    <e v="#N/A"/>
    <n v="375"/>
    <n v="14"/>
    <n v="388"/>
    <n v="387"/>
    <e v="#N/A"/>
    <s v=""/>
    <s v=""/>
    <s v=""/>
  </r>
  <r>
    <x v="2"/>
    <x v="14"/>
    <n v="92.355820831700413"/>
    <n v="92.355820831700413"/>
    <m/>
    <m/>
    <e v="#N/A"/>
    <n v="375"/>
    <n v="15"/>
    <n v="389"/>
    <n v="388"/>
    <e v="#N/A"/>
    <s v=""/>
    <s v=""/>
    <s v=""/>
  </r>
  <r>
    <x v="2"/>
    <x v="15"/>
    <n v="115.67308576370158"/>
    <n v="115.67308576370158"/>
    <m/>
    <m/>
    <e v="#N/A"/>
    <n v="375"/>
    <n v="16"/>
    <n v="390"/>
    <n v="389"/>
    <e v="#N/A"/>
    <s v=""/>
    <s v=""/>
    <s v=""/>
  </r>
  <r>
    <x v="2"/>
    <x v="16"/>
    <n v="106.44370244701982"/>
    <n v="106.44370244701982"/>
    <m/>
    <m/>
    <e v="#N/A"/>
    <n v="375"/>
    <n v="17"/>
    <n v="391"/>
    <n v="390"/>
    <e v="#N/A"/>
    <s v=""/>
    <s v=""/>
    <s v=""/>
  </r>
  <r>
    <x v="2"/>
    <x v="17"/>
    <n v="132.49406716496966"/>
    <n v="132.49406716496966"/>
    <m/>
    <m/>
    <e v="#N/A"/>
    <n v="375"/>
    <n v="18"/>
    <n v="392"/>
    <n v="391"/>
    <e v="#N/A"/>
    <s v=""/>
    <s v=""/>
    <s v=""/>
  </r>
  <r>
    <x v="2"/>
    <x v="18"/>
    <n v="107.29919580744891"/>
    <n v="107.29919580744891"/>
    <m/>
    <m/>
    <e v="#N/A"/>
    <n v="375"/>
    <n v="19"/>
    <n v="393"/>
    <n v="392"/>
    <e v="#N/A"/>
    <s v=""/>
    <s v=""/>
    <s v=""/>
  </r>
  <r>
    <x v="2"/>
    <x v="19"/>
    <n v="96.224140936716196"/>
    <n v="96.224140936716196"/>
    <m/>
    <m/>
    <e v="#N/A"/>
    <n v="375"/>
    <n v="20"/>
    <n v="394"/>
    <n v="393"/>
    <e v="#N/A"/>
    <s v=""/>
    <s v=""/>
    <s v=""/>
  </r>
  <r>
    <x v="2"/>
    <x v="20"/>
    <n v="152.575428543247"/>
    <n v="152.575428543247"/>
    <m/>
    <m/>
    <e v="#N/A"/>
    <n v="375"/>
    <n v="21"/>
    <n v="395"/>
    <n v="394"/>
    <e v="#N/A"/>
    <s v=""/>
    <s v=""/>
    <s v=""/>
  </r>
  <r>
    <x v="2"/>
    <x v="21"/>
    <n v="117.34576892489241"/>
    <n v="117.34576892489241"/>
    <m/>
    <m/>
    <e v="#N/A"/>
    <n v="375"/>
    <n v="22"/>
    <n v="396"/>
    <n v="395"/>
    <e v="#N/A"/>
    <s v=""/>
    <s v=""/>
    <s v=""/>
  </r>
  <r>
    <x v="2"/>
    <x v="22"/>
    <n v="121.64502753463385"/>
    <n v="121.64502753463385"/>
    <m/>
    <m/>
    <e v="#N/A"/>
    <n v="375"/>
    <n v="23"/>
    <n v="397"/>
    <n v="396"/>
    <e v="#N/A"/>
    <s v=""/>
    <s v=""/>
    <s v=""/>
  </r>
  <r>
    <x v="2"/>
    <x v="23"/>
    <n v="90.097134016581577"/>
    <n v="90.097134016581577"/>
    <m/>
    <m/>
    <e v="#N/A"/>
    <n v="375"/>
    <n v="24"/>
    <n v="398"/>
    <n v="397"/>
    <e v="#N/A"/>
    <s v=""/>
    <s v=""/>
    <s v=""/>
  </r>
  <r>
    <x v="2"/>
    <x v="24"/>
    <n v="105.8986587952475"/>
    <n v="105.8986587952475"/>
    <m/>
    <m/>
    <e v="#N/A"/>
    <n v="375"/>
    <n v="25"/>
    <n v="399"/>
    <n v="398"/>
    <e v="#N/A"/>
    <s v=""/>
    <s v=""/>
    <s v=""/>
  </r>
  <r>
    <x v="2"/>
    <x v="25"/>
    <n v="117.12918539930378"/>
    <n v="117.12918539930378"/>
    <m/>
    <m/>
    <e v="#N/A"/>
    <n v="375"/>
    <n v="26"/>
    <n v="400"/>
    <n v="399"/>
    <e v="#N/A"/>
    <s v=""/>
    <s v=""/>
    <s v=""/>
  </r>
  <r>
    <x v="2"/>
    <x v="26"/>
    <n v="89.980128451553952"/>
    <n v="89.980128451553952"/>
    <m/>
    <m/>
    <e v="#N/A"/>
    <n v="375"/>
    <n v="27"/>
    <n v="401"/>
    <n v="400"/>
    <e v="#N/A"/>
    <s v=""/>
    <s v=""/>
    <s v=""/>
  </r>
  <r>
    <x v="2"/>
    <x v="27"/>
    <n v="118.60322676180698"/>
    <n v="118.60322676180698"/>
    <m/>
    <m/>
    <e v="#N/A"/>
    <n v="375"/>
    <n v="28"/>
    <n v="402"/>
    <n v="401"/>
    <e v="#N/A"/>
    <s v=""/>
    <s v=""/>
    <s v=""/>
  </r>
  <r>
    <x v="2"/>
    <x v="28"/>
    <n v="97.200912915872749"/>
    <n v="97.200912915872749"/>
    <m/>
    <m/>
    <e v="#N/A"/>
    <n v="375"/>
    <n v="29"/>
    <n v="403"/>
    <n v="402"/>
    <e v="#N/A"/>
    <s v=""/>
    <s v=""/>
    <s v=""/>
  </r>
  <r>
    <x v="2"/>
    <x v="29"/>
    <n v="101.57402726328374"/>
    <n v="101.57402726328374"/>
    <m/>
    <m/>
    <e v="#N/A"/>
    <n v="375"/>
    <n v="30"/>
    <n v="404"/>
    <n v="403"/>
    <e v="#N/A"/>
    <s v=""/>
    <s v=""/>
    <s v=""/>
  </r>
  <r>
    <x v="2"/>
    <x v="30"/>
    <n v="93.671404314536701"/>
    <n v="93.671404314536701"/>
    <m/>
    <m/>
    <e v="#N/A"/>
    <n v="375"/>
    <n v="31"/>
    <n v="405"/>
    <n v="404"/>
    <e v="#N/A"/>
    <s v=""/>
    <s v=""/>
    <s v=""/>
  </r>
  <r>
    <x v="2"/>
    <x v="31"/>
    <n v="141.18426875555565"/>
    <n v="141.18426875555565"/>
    <m/>
    <m/>
    <e v="#N/A"/>
    <n v="375"/>
    <n v="32"/>
    <n v="406"/>
    <n v="405"/>
    <e v="#N/A"/>
    <s v=""/>
    <s v=""/>
    <s v=""/>
  </r>
  <r>
    <x v="2"/>
    <x v="32"/>
    <n v="102.46760234042543"/>
    <n v="102.46760234042543"/>
    <m/>
    <m/>
    <e v="#N/A"/>
    <n v="375"/>
    <n v="33"/>
    <n v="407"/>
    <n v="406"/>
    <e v="#N/A"/>
    <s v=""/>
    <s v=""/>
    <s v=""/>
  </r>
  <r>
    <x v="2"/>
    <x v="33"/>
    <n v="80.375566457459968"/>
    <n v="80.375566457459968"/>
    <m/>
    <m/>
    <e v="#N/A"/>
    <n v="375"/>
    <n v="34"/>
    <n v="408"/>
    <n v="407"/>
    <e v="#N/A"/>
    <s v=""/>
    <s v=""/>
    <s v=""/>
  </r>
  <r>
    <x v="2"/>
    <x v="34"/>
    <n v="116.99122092419066"/>
    <n v="116.99122092419066"/>
    <m/>
    <m/>
    <e v="#N/A"/>
    <n v="375"/>
    <n v="35"/>
    <n v="409"/>
    <n v="408"/>
    <e v="#N/A"/>
    <s v=""/>
    <s v=""/>
    <s v=""/>
  </r>
  <r>
    <x v="2"/>
    <x v="35"/>
    <n v="75.374006487515359"/>
    <n v="75.374006487515359"/>
    <m/>
    <m/>
    <e v="#N/A"/>
    <n v="375"/>
    <n v="36"/>
    <n v="410"/>
    <n v="409"/>
    <e v="#N/A"/>
    <s v=""/>
    <s v=""/>
    <s v=""/>
  </r>
  <r>
    <x v="2"/>
    <x v="36"/>
    <n v="103.47694704638681"/>
    <n v="103.47694704638681"/>
    <m/>
    <m/>
    <e v="#N/A"/>
    <n v="375"/>
    <n v="37"/>
    <n v="411"/>
    <n v="410"/>
    <e v="#N/A"/>
    <s v=""/>
    <s v=""/>
    <s v=""/>
  </r>
  <r>
    <x v="2"/>
    <x v="37"/>
    <n v="59.887761173883447"/>
    <n v="59.887761173883447"/>
    <m/>
    <m/>
    <e v="#N/A"/>
    <n v="375"/>
    <n v="38"/>
    <n v="412"/>
    <n v="411"/>
    <e v="#N/A"/>
    <s v=""/>
    <s v=""/>
    <s v=""/>
  </r>
  <r>
    <x v="2"/>
    <x v="38"/>
    <n v="72.582101540070312"/>
    <n v="72.582101540070312"/>
    <m/>
    <m/>
    <e v="#N/A"/>
    <n v="375"/>
    <n v="39"/>
    <n v="413"/>
    <n v="412"/>
    <e v="#N/A"/>
    <s v=""/>
    <s v=""/>
    <s v=""/>
  </r>
  <r>
    <x v="2"/>
    <x v="39"/>
    <n v="103.43722471738246"/>
    <n v="103.43722471738246"/>
    <m/>
    <m/>
    <e v="#N/A"/>
    <n v="375"/>
    <n v="40"/>
    <n v="414"/>
    <n v="413"/>
    <e v="#N/A"/>
    <s v=""/>
    <s v=""/>
    <s v=""/>
  </r>
  <r>
    <x v="2"/>
    <x v="40"/>
    <n v="114.91515411794714"/>
    <n v="114.91515411794714"/>
    <m/>
    <m/>
    <e v="#N/A"/>
    <n v="375"/>
    <n v="41"/>
    <n v="415"/>
    <n v="414"/>
    <e v="#N/A"/>
    <s v=""/>
    <s v=""/>
    <s v=""/>
  </r>
  <r>
    <x v="2"/>
    <x v="41"/>
    <n v="104.50852927527836"/>
    <n v="104.50852927527836"/>
    <m/>
    <m/>
    <e v="#N/A"/>
    <n v="375"/>
    <n v="42"/>
    <n v="416"/>
    <n v="415"/>
    <e v="#N/A"/>
    <s v=""/>
    <s v=""/>
    <s v=""/>
  </r>
  <r>
    <x v="2"/>
    <x v="42"/>
    <n v="99.986709498526892"/>
    <n v="99.986709498526892"/>
    <m/>
    <m/>
    <e v="#N/A"/>
    <n v="375"/>
    <n v="43"/>
    <n v="417"/>
    <n v="416"/>
    <e v="#N/A"/>
    <s v=""/>
    <s v=""/>
    <s v=""/>
  </r>
  <r>
    <x v="2"/>
    <x v="43"/>
    <n v="97.768805575150012"/>
    <n v="97.768805575150012"/>
    <m/>
    <m/>
    <e v="#N/A"/>
    <n v="375"/>
    <n v="44"/>
    <n v="418"/>
    <n v="417"/>
    <e v="#N/A"/>
    <s v=""/>
    <s v=""/>
    <s v=""/>
  </r>
  <r>
    <x v="2"/>
    <x v="44"/>
    <n v="75.969882874778307"/>
    <n v="75.969882874778307"/>
    <m/>
    <m/>
    <e v="#N/A"/>
    <n v="375"/>
    <n v="45"/>
    <n v="419"/>
    <n v="418"/>
    <e v="#N/A"/>
    <s v=""/>
    <s v=""/>
    <s v=""/>
  </r>
  <r>
    <x v="2"/>
    <x v="45"/>
    <n v="93.132900868683805"/>
    <n v="93.132900868683805"/>
    <m/>
    <m/>
    <e v="#N/A"/>
    <n v="375"/>
    <n v="46"/>
    <n v="420"/>
    <n v="419"/>
    <e v="#N/A"/>
    <s v=""/>
    <s v=""/>
    <s v=""/>
  </r>
  <r>
    <x v="2"/>
    <x v="46"/>
    <n v="100.52477141598834"/>
    <n v="100.52477141598834"/>
    <m/>
    <m/>
    <e v="#N/A"/>
    <n v="375"/>
    <n v="47"/>
    <n v="421"/>
    <n v="420"/>
    <e v="#N/A"/>
    <s v=""/>
    <s v=""/>
    <s v=""/>
  </r>
  <r>
    <x v="2"/>
    <x v="47"/>
    <n v="133.28114958975519"/>
    <n v="133.28114958975519"/>
    <m/>
    <m/>
    <e v="#N/A"/>
    <n v="375"/>
    <n v="48"/>
    <n v="422"/>
    <n v="421"/>
    <e v="#N/A"/>
    <s v=""/>
    <s v=""/>
    <s v=""/>
  </r>
  <r>
    <x v="2"/>
    <x v="48"/>
    <n v="121.57790235049386"/>
    <n v="121.57790235049386"/>
    <m/>
    <m/>
    <e v="#N/A"/>
    <n v="375"/>
    <n v="49"/>
    <n v="423"/>
    <n v="422"/>
    <e v="#N/A"/>
    <s v=""/>
    <s v=""/>
    <s v=""/>
  </r>
  <r>
    <x v="2"/>
    <x v="49"/>
    <n v="82.147099151894594"/>
    <n v="82.147099151894594"/>
    <m/>
    <m/>
    <e v="#N/A"/>
    <n v="375"/>
    <n v="50"/>
    <n v="424"/>
    <n v="423"/>
    <e v="#N/A"/>
    <s v=""/>
    <s v=""/>
    <s v=""/>
  </r>
  <r>
    <x v="2"/>
    <x v="50"/>
    <n v="126.69536610214473"/>
    <n v="126.69536610214473"/>
    <m/>
    <m/>
    <e v="#N/A"/>
    <n v="375"/>
    <n v="51"/>
    <n v="425"/>
    <n v="424"/>
    <e v="#N/A"/>
    <s v=""/>
    <s v=""/>
    <s v=""/>
  </r>
  <r>
    <x v="2"/>
    <x v="51"/>
    <n v="115.3876207865672"/>
    <n v="115.3876207865672"/>
    <m/>
    <m/>
    <e v="#N/A"/>
    <n v="375"/>
    <n v="52"/>
    <n v="426"/>
    <n v="425"/>
    <e v="#N/A"/>
    <s v=""/>
    <s v=""/>
    <s v=""/>
  </r>
  <r>
    <x v="2"/>
    <x v="52"/>
    <n v="112.46155999388084"/>
    <n v="112.46155999388084"/>
    <m/>
    <m/>
    <e v="#N/A"/>
    <n v="375"/>
    <n v="53"/>
    <n v="427"/>
    <n v="426"/>
    <e v="#N/A"/>
    <s v=""/>
    <s v=""/>
    <s v=""/>
  </r>
  <r>
    <x v="2"/>
    <x v="53"/>
    <n v="141.1442593819238"/>
    <n v="141.1442593819238"/>
    <m/>
    <m/>
    <e v="#N/A"/>
    <n v="375"/>
    <n v="54"/>
    <n v="428"/>
    <n v="427"/>
    <e v="#N/A"/>
    <s v=""/>
    <s v=""/>
    <s v=""/>
  </r>
  <r>
    <x v="2"/>
    <x v="54"/>
    <n v="152.40630373567015"/>
    <n v="152.40630373567015"/>
    <m/>
    <m/>
    <e v="#N/A"/>
    <n v="375"/>
    <n v="55"/>
    <n v="429"/>
    <n v="428"/>
    <e v="#N/A"/>
    <s v=""/>
    <s v=""/>
    <s v=""/>
  </r>
  <r>
    <x v="2"/>
    <x v="55"/>
    <n v="153.21770012317467"/>
    <n v="153.21770012317467"/>
    <m/>
    <m/>
    <e v="#N/A"/>
    <n v="375"/>
    <n v="56"/>
    <n v="430"/>
    <n v="429"/>
    <e v="#N/A"/>
    <s v=""/>
    <s v=""/>
    <s v=""/>
  </r>
  <r>
    <x v="2"/>
    <x v="56"/>
    <n v="120.51011297642258"/>
    <n v="120.51011297642258"/>
    <m/>
    <m/>
    <e v="#N/A"/>
    <n v="375"/>
    <n v="57"/>
    <n v="431"/>
    <n v="430"/>
    <e v="#N/A"/>
    <s v=""/>
    <s v=""/>
    <s v=""/>
  </r>
  <r>
    <x v="2"/>
    <x v="57"/>
    <n v="133.67704741759883"/>
    <n v="133.67704741759883"/>
    <m/>
    <m/>
    <e v="#N/A"/>
    <n v="375"/>
    <n v="58"/>
    <n v="432"/>
    <n v="431"/>
    <e v="#N/A"/>
    <s v=""/>
    <s v=""/>
    <s v=""/>
  </r>
  <r>
    <x v="2"/>
    <x v="58"/>
    <n v="148.88772179288716"/>
    <n v="148.88772179288716"/>
    <m/>
    <m/>
    <e v="#N/A"/>
    <n v="375"/>
    <n v="59"/>
    <n v="433"/>
    <n v="432"/>
    <e v="#N/A"/>
    <s v=""/>
    <s v=""/>
    <s v=""/>
  </r>
  <r>
    <x v="2"/>
    <x v="59"/>
    <n v="163.98111750586921"/>
    <n v="163.98111750586921"/>
    <m/>
    <m/>
    <e v="#N/A"/>
    <n v="375"/>
    <n v="60"/>
    <n v="434"/>
    <n v="433"/>
    <e v="#N/A"/>
    <s v=""/>
    <s v=""/>
    <s v=""/>
  </r>
  <r>
    <x v="2"/>
    <x v="60"/>
    <n v="136.87619256096733"/>
    <n v="136.87619256096733"/>
    <m/>
    <m/>
    <e v="#N/A"/>
    <n v="375"/>
    <n v="61"/>
    <n v="435"/>
    <n v="434"/>
    <e v="#N/A"/>
    <s v=""/>
    <s v=""/>
    <s v=""/>
  </r>
  <r>
    <x v="2"/>
    <x v="61"/>
    <n v="144.49594097978786"/>
    <n v="144.49594097978786"/>
    <m/>
    <m/>
    <e v="#N/A"/>
    <n v="375"/>
    <n v="62"/>
    <n v="436"/>
    <n v="435"/>
    <e v="#N/A"/>
    <s v=""/>
    <s v=""/>
    <s v=""/>
  </r>
  <r>
    <x v="2"/>
    <x v="62"/>
    <n v="127.57362537358775"/>
    <n v="127.57362537358775"/>
    <m/>
    <m/>
    <e v="#N/A"/>
    <n v="375"/>
    <n v="63"/>
    <n v="437"/>
    <n v="436"/>
    <e v="#N/A"/>
    <s v=""/>
    <s v=""/>
    <s v=""/>
  </r>
  <r>
    <x v="2"/>
    <x v="63"/>
    <n v="126.99470386690763"/>
    <n v="126.99470386690763"/>
    <m/>
    <m/>
    <e v="#N/A"/>
    <n v="375"/>
    <n v="64"/>
    <n v="438"/>
    <n v="437"/>
    <e v="#N/A"/>
    <s v=""/>
    <s v=""/>
    <s v=""/>
  </r>
  <r>
    <x v="2"/>
    <x v="64"/>
    <n v="168.10469392984504"/>
    <n v="168.10469392984504"/>
    <m/>
    <m/>
    <e v="#N/A"/>
    <n v="375"/>
    <n v="65"/>
    <n v="439"/>
    <n v="438"/>
    <e v="#N/A"/>
    <s v=""/>
    <s v=""/>
    <s v=""/>
  </r>
  <r>
    <x v="2"/>
    <x v="65"/>
    <n v="179.62480057141647"/>
    <n v="179.62480057141647"/>
    <m/>
    <m/>
    <e v="#N/A"/>
    <n v="375"/>
    <n v="66"/>
    <n v="440"/>
    <n v="439"/>
    <e v="#N/A"/>
    <s v=""/>
    <s v=""/>
    <s v=""/>
  </r>
  <r>
    <x v="2"/>
    <x v="66"/>
    <n v="151.4139750503544"/>
    <n v="151.4139750503544"/>
    <m/>
    <m/>
    <e v="#N/A"/>
    <n v="375"/>
    <n v="67"/>
    <n v="441"/>
    <n v="440"/>
    <e v="#N/A"/>
    <s v=""/>
    <s v=""/>
    <s v=""/>
  </r>
  <r>
    <x v="2"/>
    <x v="67"/>
    <n v="172.98949430636151"/>
    <n v="172.98949430636151"/>
    <m/>
    <m/>
    <e v="#N/A"/>
    <n v="375"/>
    <n v="68"/>
    <n v="442"/>
    <n v="441"/>
    <e v="#N/A"/>
    <s v=""/>
    <s v=""/>
    <s v=""/>
  </r>
  <r>
    <x v="2"/>
    <x v="68"/>
    <n v="159.933045354661"/>
    <n v="159.933045354661"/>
    <m/>
    <m/>
    <e v="#N/A"/>
    <n v="375"/>
    <n v="69"/>
    <n v="443"/>
    <n v="442"/>
    <e v="#N/A"/>
    <s v=""/>
    <s v=""/>
    <s v=""/>
  </r>
  <r>
    <x v="2"/>
    <x v="69"/>
    <n v="139.3067254209617"/>
    <n v="139.3067254209617"/>
    <m/>
    <m/>
    <e v="#N/A"/>
    <n v="375"/>
    <n v="70"/>
    <n v="444"/>
    <n v="443"/>
    <e v="#N/A"/>
    <s v=""/>
    <s v=""/>
    <s v=""/>
  </r>
  <r>
    <x v="2"/>
    <x v="70"/>
    <n v="158.68758942804143"/>
    <n v="158.68758942804143"/>
    <m/>
    <m/>
    <e v="#N/A"/>
    <n v="375"/>
    <n v="71"/>
    <n v="445"/>
    <n v="444"/>
    <e v="#N/A"/>
    <s v=""/>
    <s v=""/>
    <s v=""/>
  </r>
  <r>
    <x v="2"/>
    <x v="71"/>
    <n v="181.23094629274141"/>
    <n v="181.23094629274141"/>
    <m/>
    <m/>
    <e v="#N/A"/>
    <n v="375"/>
    <n v="72"/>
    <n v="446"/>
    <n v="445"/>
    <e v="#N/A"/>
    <s v=""/>
    <s v=""/>
    <s v=""/>
  </r>
  <r>
    <x v="2"/>
    <x v="72"/>
    <n v="148.54593238261688"/>
    <n v="148.54593238261688"/>
    <m/>
    <m/>
    <e v="#N/A"/>
    <n v="375"/>
    <n v="73"/>
    <n v="447"/>
    <n v="446"/>
    <e v="#N/A"/>
    <s v=""/>
    <s v=""/>
    <s v=""/>
  </r>
  <r>
    <x v="2"/>
    <x v="73"/>
    <n v="179.15416805090328"/>
    <n v="179.15416805090328"/>
    <m/>
    <m/>
    <e v="#N/A"/>
    <n v="375"/>
    <n v="74"/>
    <n v="448"/>
    <n v="447"/>
    <e v="#N/A"/>
    <s v=""/>
    <s v=""/>
    <s v=""/>
  </r>
  <r>
    <x v="2"/>
    <x v="74"/>
    <n v="93.899561359080479"/>
    <n v="93.899561359080479"/>
    <m/>
    <m/>
    <e v="#N/A"/>
    <n v="375"/>
    <n v="75"/>
    <n v="449"/>
    <n v="448"/>
    <e v="#N/A"/>
    <s v=""/>
    <s v=""/>
    <s v=""/>
  </r>
  <r>
    <x v="2"/>
    <x v="75"/>
    <n v="161.03014782835521"/>
    <n v="161.03014782835521"/>
    <m/>
    <m/>
    <e v="#N/A"/>
    <n v="375"/>
    <n v="76"/>
    <n v="450"/>
    <n v="449"/>
    <e v="#N/A"/>
    <s v=""/>
    <s v=""/>
    <s v=""/>
  </r>
  <r>
    <x v="2"/>
    <x v="76"/>
    <n v="144.52725465051458"/>
    <n v="144.52725465051458"/>
    <m/>
    <m/>
    <e v="#N/A"/>
    <n v="375"/>
    <n v="77"/>
    <n v="451"/>
    <n v="450"/>
    <e v="#N/A"/>
    <s v=""/>
    <s v=""/>
    <s v=""/>
  </r>
  <r>
    <x v="2"/>
    <x v="77"/>
    <n v="134.93058659578912"/>
    <n v="134.93058659578912"/>
    <m/>
    <m/>
    <e v="#N/A"/>
    <n v="375"/>
    <n v="78"/>
    <n v="452"/>
    <n v="451"/>
    <e v="#N/A"/>
    <s v=""/>
    <s v=""/>
    <s v=""/>
  </r>
  <r>
    <x v="2"/>
    <x v="78"/>
    <n v="140.83521553071006"/>
    <n v="140.83521553071006"/>
    <m/>
    <m/>
    <e v="#N/A"/>
    <n v="375"/>
    <n v="79"/>
    <n v="453"/>
    <n v="452"/>
    <e v="#N/A"/>
    <s v=""/>
    <s v=""/>
    <s v=""/>
  </r>
  <r>
    <x v="2"/>
    <x v="79"/>
    <n v="97.337888102875667"/>
    <n v="97.337888102875667"/>
    <m/>
    <m/>
    <e v="#N/A"/>
    <n v="375"/>
    <n v="80"/>
    <n v="454"/>
    <n v="453"/>
    <e v="#N/A"/>
    <s v=""/>
    <s v=""/>
    <s v=""/>
  </r>
  <r>
    <x v="2"/>
    <x v="80"/>
    <n v="130.82024895749859"/>
    <n v="130.82024895749859"/>
    <m/>
    <m/>
    <e v="#N/A"/>
    <n v="375"/>
    <n v="81"/>
    <n v="455"/>
    <n v="454"/>
    <e v="#N/A"/>
    <s v=""/>
    <s v=""/>
    <s v=""/>
  </r>
  <r>
    <x v="2"/>
    <x v="81"/>
    <n v="140.55015368938422"/>
    <n v="140.55015368938422"/>
    <m/>
    <m/>
    <e v="#N/A"/>
    <n v="375"/>
    <n v="82"/>
    <n v="456"/>
    <n v="455"/>
    <e v="#N/A"/>
    <s v=""/>
    <s v=""/>
    <s v=""/>
  </r>
  <r>
    <x v="2"/>
    <x v="82"/>
    <n v="161.26341745395499"/>
    <n v="161.26341745395499"/>
    <m/>
    <m/>
    <e v="#N/A"/>
    <n v="375"/>
    <n v="83"/>
    <n v="457"/>
    <n v="456"/>
    <e v="#N/A"/>
    <s v=""/>
    <s v=""/>
    <s v=""/>
  </r>
  <r>
    <x v="2"/>
    <x v="83"/>
    <n v="119.77330069990393"/>
    <n v="119.77330069990393"/>
    <m/>
    <m/>
    <e v="#N/A"/>
    <n v="375"/>
    <n v="84"/>
    <n v="458"/>
    <n v="457"/>
    <e v="#N/A"/>
    <s v=""/>
    <s v=""/>
    <s v=""/>
  </r>
  <r>
    <x v="2"/>
    <x v="84"/>
    <n v="112.56767477732035"/>
    <n v="112.56767477732035"/>
    <m/>
    <m/>
    <e v="#N/A"/>
    <n v="375"/>
    <n v="85"/>
    <n v="459"/>
    <n v="458"/>
    <e v="#N/A"/>
    <s v=""/>
    <s v=""/>
    <s v=""/>
  </r>
  <r>
    <x v="2"/>
    <x v="85"/>
    <n v="117.49464416488726"/>
    <n v="117.49464416488726"/>
    <m/>
    <m/>
    <e v="#N/A"/>
    <n v="375"/>
    <n v="86"/>
    <n v="460"/>
    <n v="459"/>
    <e v="#N/A"/>
    <s v=""/>
    <s v=""/>
    <s v=""/>
  </r>
  <r>
    <x v="2"/>
    <x v="86"/>
    <n v="144.84836503616836"/>
    <n v="144.84836503616836"/>
    <m/>
    <m/>
    <e v="#N/A"/>
    <n v="375"/>
    <n v="87"/>
    <n v="461"/>
    <n v="460"/>
    <e v="#N/A"/>
    <s v=""/>
    <s v=""/>
    <s v=""/>
  </r>
  <r>
    <x v="2"/>
    <x v="87"/>
    <n v="132.36590168012953"/>
    <n v="132.36590168012953"/>
    <m/>
    <m/>
    <e v="#N/A"/>
    <n v="375"/>
    <n v="88"/>
    <n v="462"/>
    <n v="461"/>
    <e v="#N/A"/>
    <s v=""/>
    <s v=""/>
    <s v=""/>
  </r>
  <r>
    <x v="2"/>
    <x v="88"/>
    <n v="114.70447107095094"/>
    <n v="114.70447107095094"/>
    <m/>
    <m/>
    <e v="#N/A"/>
    <n v="375"/>
    <n v="89"/>
    <n v="463"/>
    <n v="462"/>
    <e v="#N/A"/>
    <s v=""/>
    <s v=""/>
    <s v=""/>
  </r>
  <r>
    <x v="2"/>
    <x v="89"/>
    <n v="135.34651231374608"/>
    <n v="135.34651231374608"/>
    <m/>
    <m/>
    <e v="#N/A"/>
    <n v="375"/>
    <n v="90"/>
    <n v="464"/>
    <n v="463"/>
    <e v="#N/A"/>
    <s v=""/>
    <s v=""/>
    <s v=""/>
  </r>
  <r>
    <x v="2"/>
    <x v="90"/>
    <n v="127.08737350499973"/>
    <n v="127.08737350499973"/>
    <m/>
    <m/>
    <e v="#N/A"/>
    <n v="375"/>
    <n v="91"/>
    <n v="465"/>
    <n v="464"/>
    <e v="#N/A"/>
    <s v=""/>
    <s v=""/>
    <s v=""/>
  </r>
  <r>
    <x v="2"/>
    <x v="91"/>
    <n v="144.87289981065777"/>
    <n v="144.87289981065777"/>
    <m/>
    <m/>
    <e v="#N/A"/>
    <n v="375"/>
    <n v="92"/>
    <n v="466"/>
    <n v="465"/>
    <e v="#N/A"/>
    <s v=""/>
    <s v=""/>
    <s v=""/>
  </r>
  <r>
    <x v="2"/>
    <x v="92"/>
    <n v="112.10476064049188"/>
    <n v="112.10476064049188"/>
    <m/>
    <m/>
    <e v="#N/A"/>
    <n v="375"/>
    <n v="93"/>
    <n v="467"/>
    <n v="466"/>
    <e v="#N/A"/>
    <s v=""/>
    <s v=""/>
    <s v=""/>
  </r>
  <r>
    <x v="2"/>
    <x v="93"/>
    <n v="120.52792071952359"/>
    <n v="120.52792071952359"/>
    <m/>
    <m/>
    <e v="#N/A"/>
    <n v="375"/>
    <n v="94"/>
    <n v="468"/>
    <n v="467"/>
    <e v="#N/A"/>
    <s v=""/>
    <s v=""/>
    <s v=""/>
  </r>
  <r>
    <x v="2"/>
    <x v="94"/>
    <n v="120.45751208364854"/>
    <n v="120.45751208364854"/>
    <m/>
    <m/>
    <e v="#N/A"/>
    <n v="375"/>
    <n v="95"/>
    <n v="469"/>
    <n v="468"/>
    <e v="#N/A"/>
    <s v=""/>
    <s v=""/>
    <s v=""/>
  </r>
  <r>
    <x v="2"/>
    <x v="95"/>
    <n v="100.52058052429344"/>
    <n v="100.52058052429344"/>
    <m/>
    <m/>
    <e v="#N/A"/>
    <n v="375"/>
    <n v="96"/>
    <n v="470"/>
    <n v="469"/>
    <e v="#N/A"/>
    <s v=""/>
    <s v=""/>
    <s v=""/>
  </r>
  <r>
    <x v="2"/>
    <x v="96"/>
    <n v="137.4627282234184"/>
    <n v="137.4627282234184"/>
    <m/>
    <m/>
    <e v="#N/A"/>
    <n v="375"/>
    <n v="97"/>
    <n v="471"/>
    <n v="470"/>
    <e v="#N/A"/>
    <s v=""/>
    <s v=""/>
    <s v=""/>
  </r>
  <r>
    <x v="2"/>
    <x v="97"/>
    <n v="138.75089048017577"/>
    <n v="138.75089048017577"/>
    <m/>
    <m/>
    <e v="#N/A"/>
    <n v="375"/>
    <n v="98"/>
    <n v="472"/>
    <n v="471"/>
    <e v="#N/A"/>
    <s v=""/>
    <s v=""/>
    <s v=""/>
  </r>
  <r>
    <x v="2"/>
    <x v="98"/>
    <n v="135.83981596803329"/>
    <n v="135.83981596803329"/>
    <m/>
    <m/>
    <e v="#N/A"/>
    <n v="375"/>
    <n v="99"/>
    <n v="473"/>
    <n v="472"/>
    <e v="#N/A"/>
    <s v=""/>
    <s v=""/>
    <s v=""/>
  </r>
  <r>
    <x v="2"/>
    <x v="99"/>
    <n v="133.44696239787393"/>
    <n v="133.44696239787393"/>
    <m/>
    <m/>
    <e v="#N/A"/>
    <n v="375"/>
    <n v="100"/>
    <n v="474"/>
    <n v="473"/>
    <e v="#N/A"/>
    <s v=""/>
    <s v=""/>
    <s v=""/>
  </r>
  <r>
    <x v="2"/>
    <x v="100"/>
    <n v="112.39812171811634"/>
    <n v="112.39812171811634"/>
    <m/>
    <m/>
    <e v="#N/A"/>
    <n v="375"/>
    <n v="101"/>
    <n v="475"/>
    <n v="474"/>
    <e v="#N/A"/>
    <s v=""/>
    <s v=""/>
    <s v=""/>
  </r>
  <r>
    <x v="2"/>
    <x v="101"/>
    <n v="134.99499580384207"/>
    <n v="134.99499580384207"/>
    <m/>
    <m/>
    <e v="#N/A"/>
    <n v="375"/>
    <n v="102"/>
    <n v="476"/>
    <n v="475"/>
    <e v="#N/A"/>
    <s v=""/>
    <s v=""/>
    <s v=""/>
  </r>
  <r>
    <x v="2"/>
    <x v="102"/>
    <n v="139.35939638371343"/>
    <n v="139.35939638371343"/>
    <m/>
    <m/>
    <e v="#N/A"/>
    <n v="375"/>
    <n v="103"/>
    <n v="477"/>
    <n v="476"/>
    <e v="#N/A"/>
    <s v=""/>
    <s v=""/>
    <s v=""/>
  </r>
  <r>
    <x v="2"/>
    <x v="103"/>
    <n v="133.04372101046113"/>
    <n v="133.04372101046113"/>
    <m/>
    <m/>
    <e v="#N/A"/>
    <n v="375"/>
    <n v="104"/>
    <n v="478"/>
    <n v="477"/>
    <e v="#N/A"/>
    <s v=""/>
    <s v=""/>
    <s v=""/>
  </r>
  <r>
    <x v="2"/>
    <x v="104"/>
    <n v="148.77428576667984"/>
    <n v="148.77428576667984"/>
    <m/>
    <m/>
    <e v="#N/A"/>
    <n v="375"/>
    <n v="105"/>
    <n v="479"/>
    <n v="478"/>
    <e v="#N/A"/>
    <s v=""/>
    <s v=""/>
    <s v=""/>
  </r>
  <r>
    <x v="2"/>
    <x v="105"/>
    <n v="162.99175074139725"/>
    <n v="162.99175074139725"/>
    <m/>
    <m/>
    <e v="#N/A"/>
    <n v="375"/>
    <n v="106"/>
    <n v="480"/>
    <n v="479"/>
    <e v="#N/A"/>
    <s v=""/>
    <s v=""/>
    <s v=""/>
  </r>
  <r>
    <x v="2"/>
    <x v="106"/>
    <n v="195.51003130996176"/>
    <n v="195.51003130996176"/>
    <m/>
    <m/>
    <e v="#N/A"/>
    <n v="375"/>
    <n v="107"/>
    <n v="481"/>
    <n v="480"/>
    <e v="#N/A"/>
    <s v=""/>
    <s v=""/>
    <s v=""/>
  </r>
  <r>
    <x v="2"/>
    <x v="107"/>
    <n v="164.08365399748749"/>
    <n v="164.08365399748749"/>
    <m/>
    <m/>
    <e v="#N/A"/>
    <n v="375"/>
    <n v="108"/>
    <n v="482"/>
    <n v="481"/>
    <e v="#N/A"/>
    <s v=""/>
    <s v=""/>
    <s v=""/>
  </r>
  <r>
    <x v="2"/>
    <x v="108"/>
    <n v="168.44547125533063"/>
    <n v="168.44547125533063"/>
    <m/>
    <m/>
    <e v="#N/A"/>
    <n v="375"/>
    <n v="109"/>
    <n v="483"/>
    <n v="482"/>
    <e v="#N/A"/>
    <s v=""/>
    <s v=""/>
    <s v=""/>
  </r>
  <r>
    <x v="2"/>
    <x v="109"/>
    <n v="164.37237661929976"/>
    <n v="164.37237661929976"/>
    <m/>
    <m/>
    <e v="#N/A"/>
    <n v="375"/>
    <n v="110"/>
    <n v="484"/>
    <n v="483"/>
    <e v="#N/A"/>
    <s v=""/>
    <s v=""/>
    <s v=""/>
  </r>
  <r>
    <x v="2"/>
    <x v="110"/>
    <n v="129.88702885883507"/>
    <n v="129.88702885883507"/>
    <m/>
    <m/>
    <e v="#N/A"/>
    <n v="375"/>
    <n v="111"/>
    <n v="485"/>
    <n v="484"/>
    <e v="#N/A"/>
    <s v=""/>
    <s v=""/>
    <s v=""/>
  </r>
  <r>
    <x v="2"/>
    <x v="111"/>
    <n v="169.93993745443768"/>
    <n v="169.93993745443768"/>
    <m/>
    <m/>
    <e v="#N/A"/>
    <n v="375"/>
    <n v="112"/>
    <n v="486"/>
    <n v="485"/>
    <e v="#N/A"/>
    <s v=""/>
    <s v=""/>
    <s v=""/>
  </r>
  <r>
    <x v="2"/>
    <x v="112"/>
    <n v="173.66428151669365"/>
    <n v="173.66428151669365"/>
    <m/>
    <m/>
    <e v="#N/A"/>
    <n v="375"/>
    <n v="113"/>
    <n v="487"/>
    <n v="486"/>
    <e v="#N/A"/>
    <s v=""/>
    <s v=""/>
    <s v=""/>
  </r>
  <r>
    <x v="2"/>
    <x v="113"/>
    <n v="223.47396276276993"/>
    <n v="223.47396276276993"/>
    <m/>
    <m/>
    <e v="#N/A"/>
    <n v="375"/>
    <n v="114"/>
    <n v="488"/>
    <n v="487"/>
    <e v="#N/A"/>
    <s v=""/>
    <s v=""/>
    <s v=""/>
  </r>
  <r>
    <x v="2"/>
    <x v="114"/>
    <n v="171.85310555808584"/>
    <n v="171.85310555808584"/>
    <m/>
    <m/>
    <e v="#N/A"/>
    <n v="375"/>
    <n v="115"/>
    <n v="489"/>
    <n v="488"/>
    <e v="#N/A"/>
    <s v=""/>
    <s v=""/>
    <s v=""/>
  </r>
  <r>
    <x v="2"/>
    <x v="115"/>
    <n v="182.94978319519328"/>
    <n v="182.94978319519328"/>
    <m/>
    <m/>
    <e v="#N/A"/>
    <n v="375"/>
    <n v="116"/>
    <n v="490"/>
    <n v="489"/>
    <e v="#N/A"/>
    <s v=""/>
    <s v=""/>
    <s v=""/>
  </r>
  <r>
    <x v="2"/>
    <x v="116"/>
    <n v="177.15994208785619"/>
    <n v="177.15994208785619"/>
    <m/>
    <m/>
    <e v="#N/A"/>
    <n v="375"/>
    <n v="117"/>
    <n v="491"/>
    <n v="490"/>
    <e v="#N/A"/>
    <s v=""/>
    <s v=""/>
    <s v=""/>
  </r>
  <r>
    <x v="2"/>
    <x v="117"/>
    <n v="155.12643924760937"/>
    <n v="155.12643924760937"/>
    <m/>
    <m/>
    <e v="#N/A"/>
    <n v="375"/>
    <n v="118"/>
    <n v="492"/>
    <n v="491"/>
    <e v="#N/A"/>
    <s v=""/>
    <s v=""/>
    <s v=""/>
  </r>
  <r>
    <x v="2"/>
    <x v="118"/>
    <n v="201.71063377226147"/>
    <n v="201.71063377226147"/>
    <m/>
    <m/>
    <e v="#N/A"/>
    <n v="375"/>
    <n v="119"/>
    <n v="493"/>
    <n v="492"/>
    <e v="#N/A"/>
    <s v=""/>
    <s v=""/>
    <s v=""/>
  </r>
  <r>
    <x v="2"/>
    <x v="119"/>
    <n v="193.95749700225653"/>
    <n v="193.95749700225653"/>
    <m/>
    <m/>
    <e v="#N/A"/>
    <n v="375"/>
    <n v="120"/>
    <n v="494"/>
    <n v="493"/>
    <e v="#N/A"/>
    <s v=""/>
    <s v=""/>
    <s v=""/>
  </r>
  <r>
    <x v="2"/>
    <x v="120"/>
    <n v="194.52096379456924"/>
    <n v="194.52096379456924"/>
    <m/>
    <m/>
    <e v="#N/A"/>
    <n v="375"/>
    <n v="121"/>
    <n v="495"/>
    <n v="494"/>
    <e v="#N/A"/>
    <s v=""/>
    <s v=""/>
    <s v=""/>
  </r>
  <r>
    <x v="2"/>
    <x v="121"/>
    <n v="160.02137141716941"/>
    <n v="160.02137141716941"/>
    <m/>
    <m/>
    <e v="#N/A"/>
    <n v="375"/>
    <n v="122"/>
    <n v="496"/>
    <n v="495"/>
    <e v="#N/A"/>
    <s v=""/>
    <s v=""/>
    <s v=""/>
  </r>
  <r>
    <x v="2"/>
    <x v="122"/>
    <n v="205.5155635365951"/>
    <n v="205.5155635365951"/>
    <m/>
    <m/>
    <e v="#N/A"/>
    <n v="375"/>
    <n v="123"/>
    <n v="497"/>
    <n v="496"/>
    <e v="#N/A"/>
    <s v=""/>
    <s v=""/>
    <s v=""/>
  </r>
  <r>
    <x v="2"/>
    <x v="123"/>
    <n v="148.43319370757641"/>
    <n v="148.43319370757641"/>
    <m/>
    <m/>
    <e v="#N/A"/>
    <n v="375"/>
    <n v="124"/>
    <n v="498"/>
    <n v="497"/>
    <e v="#N/A"/>
    <s v=""/>
    <s v=""/>
    <s v=""/>
  </r>
  <r>
    <x v="2"/>
    <x v="124"/>
    <n v="186.99959504082133"/>
    <n v="186.99959504082133"/>
    <m/>
    <m/>
    <e v="#N/A"/>
    <n v="375"/>
    <n v="125"/>
    <n v="499"/>
    <n v="498"/>
    <e v="#N/A"/>
    <s v=""/>
    <s v=""/>
    <s v=""/>
  </r>
  <r>
    <x v="2"/>
    <x v="125"/>
    <n v="217.67040745082272"/>
    <n v="217.67040745082272"/>
    <m/>
    <m/>
    <e v="#N/A"/>
    <n v="375"/>
    <n v="126"/>
    <n v="500"/>
    <n v="499"/>
    <e v="#N/A"/>
    <s v=""/>
    <s v=""/>
    <s v=""/>
  </r>
  <r>
    <x v="2"/>
    <x v="126"/>
    <n v="152.48373693826161"/>
    <n v="152.48373693826161"/>
    <m/>
    <m/>
    <e v="#N/A"/>
    <n v="375"/>
    <n v="127"/>
    <n v="501"/>
    <n v="500"/>
    <e v="#N/A"/>
    <s v=""/>
    <s v=""/>
    <s v=""/>
  </r>
  <r>
    <x v="2"/>
    <x v="127"/>
    <n v="159.26614314879529"/>
    <n v="159.26614314879529"/>
    <m/>
    <m/>
    <e v="#N/A"/>
    <n v="375"/>
    <n v="128"/>
    <n v="502"/>
    <n v="501"/>
    <e v="#N/A"/>
    <s v=""/>
    <s v=""/>
    <s v=""/>
  </r>
  <r>
    <x v="2"/>
    <x v="128"/>
    <n v="170.77934058750401"/>
    <n v="170.77934058750401"/>
    <m/>
    <m/>
    <e v="#N/A"/>
    <n v="375"/>
    <n v="129"/>
    <n v="503"/>
    <n v="502"/>
    <e v="#N/A"/>
    <s v=""/>
    <s v=""/>
    <s v=""/>
  </r>
  <r>
    <x v="2"/>
    <x v="129"/>
    <n v="156.84122052278249"/>
    <n v="156.84122052278249"/>
    <m/>
    <m/>
    <e v="#N/A"/>
    <n v="375"/>
    <n v="130"/>
    <n v="504"/>
    <n v="503"/>
    <e v="#N/A"/>
    <s v=""/>
    <s v=""/>
    <s v=""/>
  </r>
  <r>
    <x v="2"/>
    <x v="130"/>
    <n v="133.98673137867735"/>
    <n v="133.98673137867735"/>
    <m/>
    <m/>
    <e v="#N/A"/>
    <n v="375"/>
    <n v="131"/>
    <n v="505"/>
    <n v="504"/>
    <e v="#N/A"/>
    <s v=""/>
    <s v=""/>
    <s v=""/>
  </r>
  <r>
    <x v="2"/>
    <x v="131"/>
    <n v="164.46052589101407"/>
    <n v="164.46052589101407"/>
    <m/>
    <m/>
    <e v="#N/A"/>
    <n v="375"/>
    <n v="132"/>
    <n v="506"/>
    <n v="505"/>
    <e v="#N/A"/>
    <s v=""/>
    <s v=""/>
    <s v=""/>
  </r>
  <r>
    <x v="2"/>
    <x v="132"/>
    <n v="139.96761243972674"/>
    <n v="139.96761243972674"/>
    <m/>
    <m/>
    <e v="#N/A"/>
    <n v="375"/>
    <n v="133"/>
    <n v="507"/>
    <n v="506"/>
    <e v="#N/A"/>
    <s v=""/>
    <s v=""/>
    <s v=""/>
  </r>
  <r>
    <x v="2"/>
    <x v="133"/>
    <n v="168.87975087185293"/>
    <n v="168.87975087185293"/>
    <m/>
    <m/>
    <e v="#N/A"/>
    <n v="375"/>
    <n v="134"/>
    <n v="508"/>
    <n v="507"/>
    <e v="#N/A"/>
    <s v=""/>
    <s v=""/>
    <s v=""/>
  </r>
  <r>
    <x v="2"/>
    <x v="134"/>
    <n v="139.31705187444857"/>
    <n v="139.31705187444857"/>
    <m/>
    <m/>
    <e v="#N/A"/>
    <n v="375"/>
    <n v="135"/>
    <n v="509"/>
    <n v="508"/>
    <e v="#N/A"/>
    <s v=""/>
    <s v=""/>
    <s v=""/>
  </r>
  <r>
    <x v="2"/>
    <x v="135"/>
    <n v="187.1373931657277"/>
    <n v="187.1373931657277"/>
    <m/>
    <m/>
    <e v="#N/A"/>
    <n v="375"/>
    <n v="136"/>
    <n v="510"/>
    <n v="509"/>
    <e v="#N/A"/>
    <s v=""/>
    <s v=""/>
    <s v=""/>
  </r>
  <r>
    <x v="2"/>
    <x v="136"/>
    <n v="139.07248098845938"/>
    <n v="139.07248098845938"/>
    <m/>
    <m/>
    <e v="#N/A"/>
    <n v="375"/>
    <n v="137"/>
    <n v="511"/>
    <n v="510"/>
    <e v="#N/A"/>
    <s v=""/>
    <s v=""/>
    <s v=""/>
  </r>
  <r>
    <x v="2"/>
    <x v="137"/>
    <n v="147.08855471246446"/>
    <n v="147.08855471246446"/>
    <m/>
    <m/>
    <e v="#N/A"/>
    <n v="375"/>
    <n v="138"/>
    <n v="512"/>
    <n v="511"/>
    <e v="#N/A"/>
    <s v=""/>
    <s v=""/>
    <s v=""/>
  </r>
  <r>
    <x v="2"/>
    <x v="138"/>
    <n v="168.81066702952029"/>
    <n v="168.81066702952029"/>
    <m/>
    <m/>
    <e v="#N/A"/>
    <n v="375"/>
    <n v="139"/>
    <n v="513"/>
    <n v="512"/>
    <e v="#N/A"/>
    <s v=""/>
    <s v=""/>
    <s v=""/>
  </r>
  <r>
    <x v="2"/>
    <x v="139"/>
    <n v="127.17359315825671"/>
    <n v="127.17359315825671"/>
    <m/>
    <m/>
    <e v="#N/A"/>
    <n v="375"/>
    <n v="140"/>
    <n v="514"/>
    <n v="513"/>
    <e v="#N/A"/>
    <s v=""/>
    <s v=""/>
    <s v=""/>
  </r>
  <r>
    <x v="2"/>
    <x v="140"/>
    <n v="155.84887383837432"/>
    <n v="155.84887383837432"/>
    <m/>
    <m/>
    <e v="#N/A"/>
    <n v="375"/>
    <n v="141"/>
    <n v="515"/>
    <n v="514"/>
    <e v="#N/A"/>
    <s v=""/>
    <s v=""/>
    <s v=""/>
  </r>
  <r>
    <x v="2"/>
    <x v="141"/>
    <n v="177.22401873712752"/>
    <n v="177.22401873712752"/>
    <m/>
    <m/>
    <e v="#N/A"/>
    <n v="375"/>
    <n v="142"/>
    <n v="516"/>
    <n v="515"/>
    <e v="#N/A"/>
    <s v=""/>
    <s v=""/>
    <s v=""/>
  </r>
  <r>
    <x v="2"/>
    <x v="142"/>
    <n v="118.99615782681437"/>
    <n v="118.99615782681437"/>
    <m/>
    <m/>
    <e v="#N/A"/>
    <n v="375"/>
    <n v="143"/>
    <n v="517"/>
    <n v="516"/>
    <e v="#N/A"/>
    <s v=""/>
    <s v=""/>
    <s v=""/>
  </r>
  <r>
    <x v="2"/>
    <x v="143"/>
    <n v="155.19267717064608"/>
    <n v="155.19267717064608"/>
    <m/>
    <m/>
    <e v="#N/A"/>
    <n v="375"/>
    <n v="144"/>
    <n v="518"/>
    <n v="517"/>
    <e v="#N/A"/>
    <s v=""/>
    <s v=""/>
    <s v=""/>
  </r>
  <r>
    <x v="2"/>
    <x v="144"/>
    <n v="157.3434784030074"/>
    <n v="157.3434784030074"/>
    <m/>
    <m/>
    <e v="#N/A"/>
    <n v="375"/>
    <n v="145"/>
    <n v="519"/>
    <n v="518"/>
    <e v="#N/A"/>
    <s v=""/>
    <s v=""/>
    <s v=""/>
  </r>
  <r>
    <x v="2"/>
    <x v="145"/>
    <n v="168.71762108702518"/>
    <n v="168.71762108702518"/>
    <m/>
    <m/>
    <e v="#N/A"/>
    <n v="375"/>
    <n v="146"/>
    <n v="520"/>
    <n v="519"/>
    <e v="#N/A"/>
    <s v=""/>
    <s v=""/>
    <s v=""/>
  </r>
  <r>
    <x v="2"/>
    <x v="146"/>
    <n v="129.56066092873004"/>
    <n v="129.56066092873004"/>
    <m/>
    <m/>
    <e v="#N/A"/>
    <n v="375"/>
    <n v="147"/>
    <n v="521"/>
    <n v="520"/>
    <e v="#N/A"/>
    <s v=""/>
    <s v=""/>
    <s v=""/>
  </r>
  <r>
    <x v="2"/>
    <x v="147"/>
    <n v="129.38174722525028"/>
    <n v="129.38174722525028"/>
    <m/>
    <m/>
    <e v="#N/A"/>
    <n v="375"/>
    <n v="148"/>
    <n v="522"/>
    <n v="521"/>
    <e v="#N/A"/>
    <s v=""/>
    <s v=""/>
    <s v=""/>
  </r>
  <r>
    <x v="2"/>
    <x v="148"/>
    <n v="167.97915399446484"/>
    <n v="167.97915399446484"/>
    <m/>
    <m/>
    <e v="#N/A"/>
    <n v="375"/>
    <n v="149"/>
    <n v="523"/>
    <n v="522"/>
    <e v="#N/A"/>
    <s v=""/>
    <s v=""/>
    <s v=""/>
  </r>
  <r>
    <x v="2"/>
    <x v="149"/>
    <n v="165.46947850124167"/>
    <n v="165.46947850124167"/>
    <m/>
    <m/>
    <e v="#N/A"/>
    <n v="375"/>
    <n v="150"/>
    <n v="524"/>
    <n v="523"/>
    <e v="#N/A"/>
    <s v=""/>
    <s v=""/>
    <s v=""/>
  </r>
  <r>
    <x v="2"/>
    <x v="150"/>
    <n v="166.74740384210162"/>
    <n v="166.74740384210162"/>
    <m/>
    <m/>
    <e v="#N/A"/>
    <n v="375"/>
    <n v="151"/>
    <n v="525"/>
    <n v="524"/>
    <e v="#N/A"/>
    <s v=""/>
    <s v=""/>
    <s v=""/>
  </r>
  <r>
    <x v="2"/>
    <x v="151"/>
    <n v="171.06766925531639"/>
    <n v="171.06766925531639"/>
    <m/>
    <m/>
    <e v="#N/A"/>
    <n v="375"/>
    <n v="152"/>
    <n v="526"/>
    <n v="525"/>
    <e v="#N/A"/>
    <s v=""/>
    <s v=""/>
    <s v=""/>
  </r>
  <r>
    <x v="2"/>
    <x v="152"/>
    <n v="153.10504212755478"/>
    <n v="153.10504212755478"/>
    <m/>
    <m/>
    <e v="#N/A"/>
    <n v="375"/>
    <n v="153"/>
    <n v="527"/>
    <n v="526"/>
    <e v="#N/A"/>
    <s v=""/>
    <s v=""/>
    <s v=""/>
  </r>
  <r>
    <x v="2"/>
    <x v="153"/>
    <n v="174.05297620236934"/>
    <n v="174.05297620236934"/>
    <m/>
    <m/>
    <e v="#N/A"/>
    <n v="375"/>
    <n v="154"/>
    <n v="528"/>
    <n v="527"/>
    <e v="#N/A"/>
    <s v=""/>
    <s v=""/>
    <s v=""/>
  </r>
  <r>
    <x v="2"/>
    <x v="154"/>
    <n v="178.0751361802225"/>
    <n v="178.0751361802225"/>
    <m/>
    <m/>
    <e v="#N/A"/>
    <n v="375"/>
    <n v="155"/>
    <n v="529"/>
    <n v="528"/>
    <e v="#N/A"/>
    <s v=""/>
    <s v=""/>
    <s v=""/>
  </r>
  <r>
    <x v="2"/>
    <x v="155"/>
    <n v="160.80223803436616"/>
    <n v="160.80223803436616"/>
    <m/>
    <m/>
    <e v="#N/A"/>
    <n v="375"/>
    <n v="156"/>
    <n v="530"/>
    <n v="529"/>
    <e v="#N/A"/>
    <s v=""/>
    <s v=""/>
    <s v=""/>
  </r>
  <r>
    <x v="2"/>
    <x v="156"/>
    <n v="215.31549022289511"/>
    <m/>
    <n v="215.31549022289511"/>
    <n v="180.36894071536443"/>
    <n v="164.09739843155361"/>
    <n v="375"/>
    <s v=""/>
    <n v="530"/>
    <n v="530"/>
    <n v="172.60995763677084"/>
    <n v="42.705532586124264"/>
    <n v="34.946549507530676"/>
    <n v="51.218091791341493"/>
  </r>
  <r>
    <x v="2"/>
    <x v="157"/>
    <n v="190.38739202334216"/>
    <m/>
    <n v="190.38739202334216"/>
    <n v="191.40637545174968"/>
    <n v="166.24327285683552"/>
    <n v="375"/>
    <s v=""/>
    <n v="530"/>
    <n v="531"/>
    <n v="191.47273656659198"/>
    <n v="1.0853445432498177"/>
    <n v="1.0189834284075232"/>
    <n v="24.144119166506641"/>
  </r>
  <r>
    <x v="2"/>
    <x v="158"/>
    <n v="159.96024334169823"/>
    <m/>
    <n v="159.96024334169823"/>
    <n v="212.1980147378284"/>
    <n v="169.07520594136577"/>
    <n v="375"/>
    <s v=""/>
    <n v="530"/>
    <n v="532"/>
    <n v="209.87618933944825"/>
    <n v="49.915945997750015"/>
    <n v="52.237771396130171"/>
    <n v="9.1149625996675354"/>
  </r>
  <r>
    <x v="2"/>
    <x v="159"/>
    <n v="199.7231699135273"/>
    <m/>
    <n v="199.7231699135273"/>
    <n v="208.76379881230898"/>
    <n v="166.50884813612819"/>
    <n v="375"/>
    <s v=""/>
    <n v="530"/>
    <n v="533"/>
    <n v="204.65481441526492"/>
    <n v="4.9316445017376225"/>
    <n v="9.0406288987816765"/>
    <n v="33.214321777399107"/>
  </r>
  <r>
    <x v="2"/>
    <x v="160"/>
    <n v="169.80083003632893"/>
    <m/>
    <n v="169.80083003632893"/>
    <n v="188.50154469612363"/>
    <n v="182.06146015996325"/>
    <n v="375"/>
    <s v=""/>
    <n v="530"/>
    <n v="534"/>
    <n v="182.68896434339038"/>
    <n v="12.888134307061449"/>
    <n v="18.700714659794698"/>
    <n v="12.260630123634314"/>
  </r>
  <r>
    <x v="2"/>
    <x v="161"/>
    <n v="207.60298700947214"/>
    <m/>
    <n v="207.60298700947214"/>
    <n v="192.3886191121581"/>
    <n v="186.14506411520648"/>
    <n v="375"/>
    <s v=""/>
    <n v="530"/>
    <n v="535"/>
    <n v="188.80395264758698"/>
    <n v="18.799034361885163"/>
    <n v="15.214367897314048"/>
    <n v="21.457922894265664"/>
  </r>
  <r>
    <x v="2"/>
    <x v="162"/>
    <n v="217.43436474496397"/>
    <m/>
    <n v="217.43436474496397"/>
    <n v="198.85293985881904"/>
    <n v="181.61634090557544"/>
    <n v="375"/>
    <s v=""/>
    <n v="530"/>
    <n v="536"/>
    <n v="195.20362708610202"/>
    <n v="22.230737658861955"/>
    <n v="18.58142488614493"/>
    <n v="35.81802383938853"/>
  </r>
  <r>
    <x v="2"/>
    <x v="163"/>
    <n v="180.05656859638779"/>
    <m/>
    <n v="180.05656859638779"/>
    <n v="212.55934101821362"/>
    <n v="191.34657387536569"/>
    <n v="375"/>
    <s v=""/>
    <n v="530"/>
    <n v="537"/>
    <n v="215.48781766294749"/>
    <n v="35.431249066559701"/>
    <n v="32.502772421825824"/>
    <n v="11.290005278977901"/>
  </r>
  <r>
    <x v="2"/>
    <x v="164"/>
    <n v="217.72719990275954"/>
    <m/>
    <n v="217.72719990275954"/>
    <n v="197.18291239924724"/>
    <n v="179.96790882872415"/>
    <n v="375"/>
    <s v=""/>
    <n v="530"/>
    <n v="538"/>
    <n v="197.71697931232288"/>
    <n v="20.01022059043666"/>
    <n v="20.544287503512294"/>
    <n v="37.759291074035389"/>
  </r>
  <r>
    <x v="2"/>
    <x v="165"/>
    <n v="208.46473905179414"/>
    <m/>
    <n v="208.46473905179414"/>
    <n v="223.65613958143504"/>
    <n v="184.27180757525667"/>
    <n v="375"/>
    <s v=""/>
    <n v="530"/>
    <n v="539"/>
    <n v="216.75349626809714"/>
    <n v="8.2887572163029972"/>
    <n v="15.191400529640902"/>
    <n v="24.192931476537467"/>
  </r>
  <r>
    <x v="2"/>
    <x v="166"/>
    <n v="218.14152805359811"/>
    <m/>
    <n v="218.14152805359811"/>
    <n v="194.59892901966228"/>
    <n v="198.6403379260731"/>
    <n v="375"/>
    <s v=""/>
    <n v="530"/>
    <n v="540"/>
    <n v="187.26214152867607"/>
    <n v="30.87938652492204"/>
    <n v="23.542599033935829"/>
    <n v="19.501190127525007"/>
  </r>
  <r>
    <x v="2"/>
    <x v="167"/>
    <n v="240.85469600159999"/>
    <m/>
    <n v="240.85469600159999"/>
    <n v="198.49567522217788"/>
    <n v="193.72368759678821"/>
    <n v="375"/>
    <s v=""/>
    <n v="530"/>
    <n v="541"/>
    <n v="189.00293161317111"/>
    <n v="51.851764388428876"/>
    <n v="42.35902077942211"/>
    <n v="47.13100840481178"/>
  </r>
  <r>
    <x v="2"/>
    <x v="168"/>
    <n v="198.94641516190367"/>
    <m/>
    <n v="198.94641516190367"/>
    <n v="215.29869489320566"/>
    <n v="205.70528006339589"/>
    <n v="375"/>
    <s v=""/>
    <n v="530"/>
    <n v="542"/>
    <n v="213.46795159756135"/>
    <n v="14.52153643565768"/>
    <n v="16.352279731301991"/>
    <n v="6.7588649014922169"/>
  </r>
  <r>
    <x v="2"/>
    <x v="169"/>
    <n v="189.42527671285021"/>
    <m/>
    <n v="189.42527671285021"/>
    <n v="197.64142550259865"/>
    <n v="205.92071807397636"/>
    <n v="375"/>
    <s v=""/>
    <n v="530"/>
    <n v="543"/>
    <n v="211.27810885278964"/>
    <n v="21.852832139939437"/>
    <n v="8.2161487897484449"/>
    <n v="16.495441361126154"/>
  </r>
  <r>
    <x v="2"/>
    <x v="170"/>
    <n v="187.0638888894506"/>
    <m/>
    <n v="187.0638888894506"/>
    <n v="205.13967215239282"/>
    <n v="206.09750890113489"/>
    <n v="375"/>
    <s v=""/>
    <n v="530"/>
    <n v="544"/>
    <n v="210.91047437970659"/>
    <n v="23.84658549025599"/>
    <n v="18.075783262942224"/>
    <n v="19.033620011684292"/>
  </r>
  <r>
    <x v="2"/>
    <x v="171"/>
    <n v="188.60263064921227"/>
    <m/>
    <n v="188.60263064921227"/>
    <n v="217.51959373208612"/>
    <n v="221.29704075243794"/>
    <n v="375"/>
    <s v=""/>
    <n v="530"/>
    <n v="545"/>
    <n v="224.04180746256571"/>
    <n v="35.439176813353441"/>
    <n v="28.916963082873849"/>
    <n v="32.694410103225664"/>
  </r>
  <r>
    <x v="2"/>
    <x v="172"/>
    <n v="203.15829066542622"/>
    <m/>
    <n v="203.15829066542622"/>
    <n v="210.27870412368719"/>
    <n v="216.60184456722399"/>
    <n v="375"/>
    <s v=""/>
    <n v="530"/>
    <n v="546"/>
    <n v="215.97023915628074"/>
    <n v="12.811948490854519"/>
    <n v="7.1204134582609697"/>
    <n v="13.44355390179777"/>
  </r>
  <r>
    <x v="2"/>
    <x v="173"/>
    <n v="211.0321600093971"/>
    <m/>
    <n v="211.0321600093971"/>
    <n v="200.5867519801414"/>
    <n v="211.841978982488"/>
    <n v="375"/>
    <s v=""/>
    <n v="530"/>
    <n v="547"/>
    <n v="198.44108321811109"/>
    <n v="12.591076791286014"/>
    <n v="10.445408029255702"/>
    <n v="0.80981897309089845"/>
  </r>
  <r>
    <x v="2"/>
    <x v="174"/>
    <n v="208.99349330447356"/>
    <m/>
    <n v="208.99349330447356"/>
    <n v="213.81366313756584"/>
    <n v="204.07256919145112"/>
    <n v="375"/>
    <s v=""/>
    <n v="530"/>
    <n v="548"/>
    <n v="218.25083854161787"/>
    <n v="9.2573452371443068"/>
    <n v="4.8201698330922795"/>
    <n v="4.920924113022437"/>
  </r>
  <r>
    <x v="2"/>
    <x v="175"/>
    <n v="219.01387994414253"/>
    <m/>
    <n v="219.01387994414253"/>
    <n v="198.60891670275649"/>
    <n v="191.00955285335419"/>
    <n v="375"/>
    <s v=""/>
    <n v="530"/>
    <n v="549"/>
    <n v="214.97501778500293"/>
    <n v="4.0388621591395975"/>
    <n v="20.404963241386042"/>
    <n v="28.004327090788337"/>
  </r>
  <r>
    <x v="2"/>
    <x v="176"/>
    <n v="201.52249100237412"/>
    <m/>
    <n v="201.52249100237412"/>
    <n v="219.35296940028243"/>
    <n v="192.06252172923482"/>
    <n v="375"/>
    <s v=""/>
    <n v="530"/>
    <n v="550"/>
    <n v="217.19132140668668"/>
    <n v="15.668830404312558"/>
    <n v="17.830478397908308"/>
    <n v="9.4599692731393077"/>
  </r>
  <r>
    <x v="2"/>
    <x v="177"/>
    <n v="228.93197647776947"/>
    <m/>
    <n v="228.93197647776947"/>
    <n v="228.03637435345883"/>
    <n v="197.46424255337155"/>
    <n v="375"/>
    <s v=""/>
    <n v="530"/>
    <n v="551"/>
    <n v="236.75139920835989"/>
    <n v="7.8194227305904178"/>
    <n v="0.89560212431064201"/>
    <n v="31.467733924397919"/>
  </r>
  <r>
    <x v="2"/>
    <x v="178"/>
    <n v="193.00132677611623"/>
    <m/>
    <n v="193.00132677611623"/>
    <n v="179.32206184570828"/>
    <n v="202.94664365712728"/>
    <n v="375"/>
    <s v=""/>
    <n v="530"/>
    <n v="552"/>
    <n v="168.30549244993222"/>
    <n v="24.695834326184013"/>
    <n v="13.679264930407953"/>
    <n v="9.9453168810110526"/>
  </r>
  <r>
    <x v="2"/>
    <x v="179"/>
    <n v="250.99548107264312"/>
    <m/>
    <n v="250.99548107264312"/>
    <n v="193.44391453195178"/>
    <n v="210.54945598085985"/>
    <n v="375"/>
    <s v=""/>
    <n v="530"/>
    <n v="553"/>
    <n v="203.45203032286813"/>
    <n v="47.543450749774991"/>
    <n v="57.55156654069134"/>
    <n v="40.44602509178327"/>
  </r>
  <r>
    <x v="2"/>
    <x v="180"/>
    <n v="207.2996602410513"/>
    <m/>
    <n v="207.2996602410513"/>
    <n v="197.04785714203595"/>
    <n v="210.14050606509682"/>
    <n v="375"/>
    <s v=""/>
    <n v="530"/>
    <n v="554"/>
    <n v="200.91952034748368"/>
    <n v="6.3801398935676161"/>
    <n v="10.251803099015348"/>
    <n v="2.8408458240455161"/>
  </r>
  <r>
    <x v="2"/>
    <x v="181"/>
    <n v="175.76758247678086"/>
    <m/>
    <n v="175.76758247678086"/>
    <n v="192.94641369528804"/>
    <n v="214.61546018218991"/>
    <n v="375"/>
    <s v=""/>
    <n v="530"/>
    <n v="555"/>
    <n v="195.28642559232264"/>
    <n v="19.518843115541785"/>
    <n v="17.178831218507185"/>
    <n v="38.847877705409047"/>
  </r>
  <r>
    <x v="3"/>
    <x v="0"/>
    <n v="100.0000005156902"/>
    <n v="100.0000005156902"/>
    <m/>
    <m/>
    <e v="#N/A"/>
    <n v="557"/>
    <n v="1"/>
    <n v="557"/>
    <n v="556"/>
    <e v="#N/A"/>
    <s v=""/>
    <s v=""/>
    <s v=""/>
  </r>
  <r>
    <x v="3"/>
    <x v="1"/>
    <n v="100.00000000070374"/>
    <n v="100.00000000070374"/>
    <m/>
    <m/>
    <e v="#N/A"/>
    <n v="557"/>
    <n v="2"/>
    <n v="558"/>
    <n v="557"/>
    <e v="#N/A"/>
    <s v=""/>
    <s v=""/>
    <s v=""/>
  </r>
  <r>
    <x v="3"/>
    <x v="2"/>
    <n v="100.00000019519045"/>
    <n v="100.00000019519045"/>
    <m/>
    <m/>
    <e v="#N/A"/>
    <n v="557"/>
    <n v="3"/>
    <n v="559"/>
    <n v="558"/>
    <e v="#N/A"/>
    <s v=""/>
    <s v=""/>
    <s v=""/>
  </r>
  <r>
    <x v="3"/>
    <x v="3"/>
    <n v="100.00046048574131"/>
    <n v="100.00046048574131"/>
    <m/>
    <m/>
    <e v="#N/A"/>
    <n v="557"/>
    <n v="4"/>
    <n v="560"/>
    <n v="559"/>
    <e v="#N/A"/>
    <s v=""/>
    <s v=""/>
    <s v=""/>
  </r>
  <r>
    <x v="3"/>
    <x v="4"/>
    <n v="100.00015726212922"/>
    <n v="100.00015726212922"/>
    <m/>
    <m/>
    <e v="#N/A"/>
    <n v="557"/>
    <n v="5"/>
    <n v="561"/>
    <n v="560"/>
    <e v="#N/A"/>
    <s v=""/>
    <s v=""/>
    <s v=""/>
  </r>
  <r>
    <x v="3"/>
    <x v="5"/>
    <n v="100.00000025831338"/>
    <n v="100.00000025831338"/>
    <m/>
    <m/>
    <e v="#N/A"/>
    <n v="557"/>
    <n v="6"/>
    <n v="562"/>
    <n v="561"/>
    <e v="#N/A"/>
    <s v=""/>
    <s v=""/>
    <s v=""/>
  </r>
  <r>
    <x v="3"/>
    <x v="6"/>
    <n v="100.15801992967535"/>
    <n v="100.15801992967535"/>
    <m/>
    <m/>
    <e v="#N/A"/>
    <n v="557"/>
    <n v="7"/>
    <n v="563"/>
    <n v="562"/>
    <e v="#N/A"/>
    <s v=""/>
    <s v=""/>
    <s v=""/>
  </r>
  <r>
    <x v="3"/>
    <x v="7"/>
    <n v="100.00733702570049"/>
    <n v="100.00733702570049"/>
    <m/>
    <m/>
    <e v="#N/A"/>
    <n v="557"/>
    <n v="8"/>
    <n v="564"/>
    <n v="563"/>
    <e v="#N/A"/>
    <s v=""/>
    <s v=""/>
    <s v=""/>
  </r>
  <r>
    <x v="3"/>
    <x v="8"/>
    <n v="100.00029550640552"/>
    <n v="100.00029550640552"/>
    <m/>
    <m/>
    <e v="#N/A"/>
    <n v="557"/>
    <n v="9"/>
    <n v="565"/>
    <n v="564"/>
    <e v="#N/A"/>
    <s v=""/>
    <s v=""/>
    <s v=""/>
  </r>
  <r>
    <x v="3"/>
    <x v="9"/>
    <n v="100.26116287977756"/>
    <n v="100.26116287977756"/>
    <m/>
    <m/>
    <e v="#N/A"/>
    <n v="557"/>
    <n v="10"/>
    <n v="566"/>
    <n v="565"/>
    <e v="#N/A"/>
    <s v=""/>
    <s v=""/>
    <s v=""/>
  </r>
  <r>
    <x v="3"/>
    <x v="10"/>
    <n v="100.35850515973537"/>
    <n v="100.35850515973537"/>
    <m/>
    <m/>
    <e v="#N/A"/>
    <n v="557"/>
    <n v="11"/>
    <n v="567"/>
    <n v="566"/>
    <e v="#N/A"/>
    <s v=""/>
    <s v=""/>
    <s v=""/>
  </r>
  <r>
    <x v="3"/>
    <x v="11"/>
    <n v="100.45750428099876"/>
    <n v="100.45750428099876"/>
    <m/>
    <m/>
    <e v="#N/A"/>
    <n v="557"/>
    <n v="12"/>
    <n v="568"/>
    <n v="567"/>
    <e v="#N/A"/>
    <s v=""/>
    <s v=""/>
    <s v=""/>
  </r>
  <r>
    <x v="3"/>
    <x v="12"/>
    <n v="100.03334906211487"/>
    <n v="100.03334906211487"/>
    <m/>
    <m/>
    <e v="#N/A"/>
    <n v="557"/>
    <n v="13"/>
    <n v="569"/>
    <n v="568"/>
    <e v="#N/A"/>
    <s v=""/>
    <s v=""/>
    <s v=""/>
  </r>
  <r>
    <x v="3"/>
    <x v="13"/>
    <n v="105.21689761531502"/>
    <n v="105.21689761531502"/>
    <m/>
    <m/>
    <e v="#N/A"/>
    <n v="557"/>
    <n v="14"/>
    <n v="570"/>
    <n v="569"/>
    <e v="#N/A"/>
    <s v=""/>
    <s v=""/>
    <s v=""/>
  </r>
  <r>
    <x v="3"/>
    <x v="14"/>
    <n v="107.55376957788663"/>
    <n v="107.55376957788663"/>
    <m/>
    <m/>
    <e v="#N/A"/>
    <n v="557"/>
    <n v="15"/>
    <n v="571"/>
    <n v="570"/>
    <e v="#N/A"/>
    <s v=""/>
    <s v=""/>
    <s v=""/>
  </r>
  <r>
    <x v="3"/>
    <x v="15"/>
    <n v="109.0225746105167"/>
    <n v="109.0225746105167"/>
    <m/>
    <m/>
    <e v="#N/A"/>
    <n v="557"/>
    <n v="16"/>
    <n v="572"/>
    <n v="571"/>
    <e v="#N/A"/>
    <s v=""/>
    <s v=""/>
    <s v=""/>
  </r>
  <r>
    <x v="3"/>
    <x v="16"/>
    <n v="100.68166669490411"/>
    <n v="100.68166669490411"/>
    <m/>
    <m/>
    <e v="#N/A"/>
    <n v="557"/>
    <n v="17"/>
    <n v="573"/>
    <n v="572"/>
    <e v="#N/A"/>
    <s v=""/>
    <s v=""/>
    <s v=""/>
  </r>
  <r>
    <x v="3"/>
    <x v="17"/>
    <n v="101.16841179949934"/>
    <n v="101.16841179949934"/>
    <m/>
    <m/>
    <e v="#N/A"/>
    <n v="557"/>
    <n v="18"/>
    <n v="574"/>
    <n v="573"/>
    <e v="#N/A"/>
    <s v=""/>
    <s v=""/>
    <s v=""/>
  </r>
  <r>
    <x v="3"/>
    <x v="18"/>
    <n v="109.07961092252512"/>
    <n v="109.07961092252512"/>
    <m/>
    <m/>
    <e v="#N/A"/>
    <n v="557"/>
    <n v="19"/>
    <n v="575"/>
    <n v="574"/>
    <e v="#N/A"/>
    <s v=""/>
    <s v=""/>
    <s v=""/>
  </r>
  <r>
    <x v="3"/>
    <x v="19"/>
    <n v="120.74734014300732"/>
    <n v="120.74734014300732"/>
    <m/>
    <m/>
    <e v="#N/A"/>
    <n v="557"/>
    <n v="20"/>
    <n v="576"/>
    <n v="575"/>
    <e v="#N/A"/>
    <s v=""/>
    <s v=""/>
    <s v=""/>
  </r>
  <r>
    <x v="3"/>
    <x v="20"/>
    <n v="124.74546418698209"/>
    <n v="124.74546418698209"/>
    <m/>
    <m/>
    <e v="#N/A"/>
    <n v="557"/>
    <n v="21"/>
    <n v="577"/>
    <n v="576"/>
    <e v="#N/A"/>
    <s v=""/>
    <s v=""/>
    <s v=""/>
  </r>
  <r>
    <x v="3"/>
    <x v="21"/>
    <n v="124.64860921560839"/>
    <n v="124.64860921560839"/>
    <m/>
    <m/>
    <e v="#N/A"/>
    <n v="557"/>
    <n v="22"/>
    <n v="578"/>
    <n v="577"/>
    <e v="#N/A"/>
    <s v=""/>
    <s v=""/>
    <s v=""/>
  </r>
  <r>
    <x v="3"/>
    <x v="22"/>
    <n v="111.03022238516142"/>
    <n v="111.03022238516142"/>
    <m/>
    <m/>
    <e v="#N/A"/>
    <n v="557"/>
    <n v="23"/>
    <n v="579"/>
    <n v="578"/>
    <e v="#N/A"/>
    <s v=""/>
    <s v=""/>
    <s v=""/>
  </r>
  <r>
    <x v="3"/>
    <x v="23"/>
    <n v="133.67728328972683"/>
    <n v="133.67728328972683"/>
    <m/>
    <m/>
    <e v="#N/A"/>
    <n v="557"/>
    <n v="24"/>
    <n v="580"/>
    <n v="579"/>
    <e v="#N/A"/>
    <s v=""/>
    <s v=""/>
    <s v=""/>
  </r>
  <r>
    <x v="3"/>
    <x v="24"/>
    <n v="103.00271864326368"/>
    <n v="103.00271864326368"/>
    <m/>
    <m/>
    <e v="#N/A"/>
    <n v="557"/>
    <n v="25"/>
    <n v="581"/>
    <n v="580"/>
    <e v="#N/A"/>
    <s v=""/>
    <s v=""/>
    <s v=""/>
  </r>
  <r>
    <x v="3"/>
    <x v="25"/>
    <n v="103.01636096246881"/>
    <n v="103.01636096246881"/>
    <m/>
    <m/>
    <e v="#N/A"/>
    <n v="557"/>
    <n v="26"/>
    <n v="582"/>
    <n v="581"/>
    <e v="#N/A"/>
    <s v=""/>
    <s v=""/>
    <s v=""/>
  </r>
  <r>
    <x v="3"/>
    <x v="26"/>
    <n v="113.40418622017927"/>
    <n v="113.40418622017927"/>
    <m/>
    <m/>
    <e v="#N/A"/>
    <n v="557"/>
    <n v="27"/>
    <n v="583"/>
    <n v="582"/>
    <e v="#N/A"/>
    <s v=""/>
    <s v=""/>
    <s v=""/>
  </r>
  <r>
    <x v="3"/>
    <x v="27"/>
    <n v="100.20487497799468"/>
    <n v="100.20487497799468"/>
    <m/>
    <m/>
    <e v="#N/A"/>
    <n v="557"/>
    <n v="28"/>
    <n v="584"/>
    <n v="583"/>
    <e v="#N/A"/>
    <s v=""/>
    <s v=""/>
    <s v=""/>
  </r>
  <r>
    <x v="3"/>
    <x v="28"/>
    <n v="100.70491091843753"/>
    <n v="100.70491091843753"/>
    <m/>
    <m/>
    <e v="#N/A"/>
    <n v="557"/>
    <n v="29"/>
    <n v="585"/>
    <n v="584"/>
    <e v="#N/A"/>
    <s v=""/>
    <s v=""/>
    <s v=""/>
  </r>
  <r>
    <x v="3"/>
    <x v="29"/>
    <n v="100.1617618740887"/>
    <n v="100.1617618740887"/>
    <m/>
    <m/>
    <e v="#N/A"/>
    <n v="557"/>
    <n v="30"/>
    <n v="586"/>
    <n v="585"/>
    <e v="#N/A"/>
    <s v=""/>
    <s v=""/>
    <s v=""/>
  </r>
  <r>
    <x v="3"/>
    <x v="30"/>
    <n v="100.95188016322066"/>
    <n v="100.95188016322066"/>
    <m/>
    <m/>
    <e v="#N/A"/>
    <n v="557"/>
    <n v="31"/>
    <n v="587"/>
    <n v="586"/>
    <e v="#N/A"/>
    <s v=""/>
    <s v=""/>
    <s v=""/>
  </r>
  <r>
    <x v="3"/>
    <x v="31"/>
    <n v="106.56702498845473"/>
    <n v="106.56702498845473"/>
    <m/>
    <m/>
    <e v="#N/A"/>
    <n v="557"/>
    <n v="32"/>
    <n v="588"/>
    <n v="587"/>
    <e v="#N/A"/>
    <s v=""/>
    <s v=""/>
    <s v=""/>
  </r>
  <r>
    <x v="3"/>
    <x v="32"/>
    <n v="107.19626279603426"/>
    <n v="107.19626279603426"/>
    <m/>
    <m/>
    <e v="#N/A"/>
    <n v="557"/>
    <n v="33"/>
    <n v="589"/>
    <n v="588"/>
    <e v="#N/A"/>
    <s v=""/>
    <s v=""/>
    <s v=""/>
  </r>
  <r>
    <x v="3"/>
    <x v="33"/>
    <n v="100.18606213269703"/>
    <n v="100.18606213269703"/>
    <m/>
    <m/>
    <e v="#N/A"/>
    <n v="557"/>
    <n v="34"/>
    <n v="590"/>
    <n v="589"/>
    <e v="#N/A"/>
    <s v=""/>
    <s v=""/>
    <s v=""/>
  </r>
  <r>
    <x v="3"/>
    <x v="34"/>
    <n v="101.0301798884453"/>
    <n v="101.0301798884453"/>
    <m/>
    <m/>
    <e v="#N/A"/>
    <n v="557"/>
    <n v="35"/>
    <n v="591"/>
    <n v="590"/>
    <e v="#N/A"/>
    <s v=""/>
    <s v=""/>
    <s v=""/>
  </r>
  <r>
    <x v="3"/>
    <x v="35"/>
    <n v="102.791505276254"/>
    <n v="102.791505276254"/>
    <m/>
    <m/>
    <e v="#N/A"/>
    <n v="557"/>
    <n v="36"/>
    <n v="592"/>
    <n v="591"/>
    <e v="#N/A"/>
    <s v=""/>
    <s v=""/>
    <s v=""/>
  </r>
  <r>
    <x v="3"/>
    <x v="36"/>
    <n v="116.50069974238302"/>
    <n v="116.50069974238302"/>
    <m/>
    <m/>
    <e v="#N/A"/>
    <n v="557"/>
    <n v="37"/>
    <n v="593"/>
    <n v="592"/>
    <e v="#N/A"/>
    <s v=""/>
    <s v=""/>
    <s v=""/>
  </r>
  <r>
    <x v="3"/>
    <x v="37"/>
    <n v="111.0532442920254"/>
    <n v="111.0532442920254"/>
    <m/>
    <m/>
    <e v="#N/A"/>
    <n v="557"/>
    <n v="38"/>
    <n v="594"/>
    <n v="593"/>
    <e v="#N/A"/>
    <s v=""/>
    <s v=""/>
    <s v=""/>
  </r>
  <r>
    <x v="3"/>
    <x v="38"/>
    <n v="109.68099825230077"/>
    <n v="109.68099825230077"/>
    <m/>
    <m/>
    <e v="#N/A"/>
    <n v="557"/>
    <n v="39"/>
    <n v="595"/>
    <n v="594"/>
    <e v="#N/A"/>
    <s v=""/>
    <s v=""/>
    <s v=""/>
  </r>
  <r>
    <x v="3"/>
    <x v="39"/>
    <n v="116.6085270712949"/>
    <n v="116.6085270712949"/>
    <m/>
    <m/>
    <e v="#N/A"/>
    <n v="557"/>
    <n v="40"/>
    <n v="596"/>
    <n v="595"/>
    <e v="#N/A"/>
    <s v=""/>
    <s v=""/>
    <s v=""/>
  </r>
  <r>
    <x v="3"/>
    <x v="40"/>
    <n v="114.42494368779764"/>
    <n v="114.42494368779764"/>
    <m/>
    <m/>
    <e v="#N/A"/>
    <n v="557"/>
    <n v="41"/>
    <n v="597"/>
    <n v="596"/>
    <e v="#N/A"/>
    <s v=""/>
    <s v=""/>
    <s v=""/>
  </r>
  <r>
    <x v="3"/>
    <x v="41"/>
    <n v="106.13357571165525"/>
    <n v="106.13357571165525"/>
    <m/>
    <m/>
    <e v="#N/A"/>
    <n v="557"/>
    <n v="42"/>
    <n v="598"/>
    <n v="597"/>
    <e v="#N/A"/>
    <s v=""/>
    <s v=""/>
    <s v=""/>
  </r>
  <r>
    <x v="3"/>
    <x v="42"/>
    <n v="116.08759539705616"/>
    <n v="116.08759539705616"/>
    <m/>
    <m/>
    <e v="#N/A"/>
    <n v="557"/>
    <n v="43"/>
    <n v="599"/>
    <n v="598"/>
    <e v="#N/A"/>
    <s v=""/>
    <s v=""/>
    <s v=""/>
  </r>
  <r>
    <x v="3"/>
    <x v="43"/>
    <n v="103.78149863399841"/>
    <n v="103.78149863399841"/>
    <m/>
    <m/>
    <e v="#N/A"/>
    <n v="557"/>
    <n v="44"/>
    <n v="600"/>
    <n v="599"/>
    <e v="#N/A"/>
    <s v=""/>
    <s v=""/>
    <s v=""/>
  </r>
  <r>
    <x v="3"/>
    <x v="44"/>
    <n v="106.35446690753081"/>
    <n v="106.35446690753081"/>
    <m/>
    <m/>
    <e v="#N/A"/>
    <n v="557"/>
    <n v="45"/>
    <n v="601"/>
    <n v="600"/>
    <e v="#N/A"/>
    <s v=""/>
    <s v=""/>
    <s v=""/>
  </r>
  <r>
    <x v="3"/>
    <x v="45"/>
    <n v="101.04912524133682"/>
    <n v="101.04912524133682"/>
    <m/>
    <m/>
    <e v="#N/A"/>
    <n v="557"/>
    <n v="46"/>
    <n v="602"/>
    <n v="601"/>
    <e v="#N/A"/>
    <s v=""/>
    <s v=""/>
    <s v=""/>
  </r>
  <r>
    <x v="3"/>
    <x v="46"/>
    <n v="100.78575996224022"/>
    <n v="100.78575996224022"/>
    <m/>
    <m/>
    <e v="#N/A"/>
    <n v="557"/>
    <n v="47"/>
    <n v="603"/>
    <n v="602"/>
    <e v="#N/A"/>
    <s v=""/>
    <s v=""/>
    <s v=""/>
  </r>
  <r>
    <x v="3"/>
    <x v="47"/>
    <n v="105.25763170325754"/>
    <n v="105.25763170325754"/>
    <m/>
    <m/>
    <e v="#N/A"/>
    <n v="557"/>
    <n v="48"/>
    <n v="604"/>
    <n v="603"/>
    <e v="#N/A"/>
    <s v=""/>
    <s v=""/>
    <s v=""/>
  </r>
  <r>
    <x v="3"/>
    <x v="48"/>
    <n v="100.08780624106072"/>
    <n v="100.08780624106072"/>
    <m/>
    <m/>
    <e v="#N/A"/>
    <n v="557"/>
    <n v="49"/>
    <n v="605"/>
    <n v="604"/>
    <e v="#N/A"/>
    <s v=""/>
    <s v=""/>
    <s v=""/>
  </r>
  <r>
    <x v="3"/>
    <x v="49"/>
    <n v="103.66742337302041"/>
    <n v="103.66742337302041"/>
    <m/>
    <m/>
    <e v="#N/A"/>
    <n v="557"/>
    <n v="50"/>
    <n v="606"/>
    <n v="605"/>
    <e v="#N/A"/>
    <s v=""/>
    <s v=""/>
    <s v=""/>
  </r>
  <r>
    <x v="3"/>
    <x v="50"/>
    <n v="100.30864255551376"/>
    <n v="100.30864255551376"/>
    <m/>
    <m/>
    <e v="#N/A"/>
    <n v="557"/>
    <n v="51"/>
    <n v="607"/>
    <n v="606"/>
    <e v="#N/A"/>
    <s v=""/>
    <s v=""/>
    <s v=""/>
  </r>
  <r>
    <x v="3"/>
    <x v="51"/>
    <n v="100.21363858683731"/>
    <n v="100.21363858683731"/>
    <m/>
    <m/>
    <e v="#N/A"/>
    <n v="557"/>
    <n v="52"/>
    <n v="608"/>
    <n v="607"/>
    <e v="#N/A"/>
    <s v=""/>
    <s v=""/>
    <s v=""/>
  </r>
  <r>
    <x v="3"/>
    <x v="52"/>
    <n v="100.00000000000168"/>
    <n v="100.00000000000168"/>
    <m/>
    <m/>
    <e v="#N/A"/>
    <n v="557"/>
    <n v="53"/>
    <n v="609"/>
    <n v="608"/>
    <e v="#N/A"/>
    <s v=""/>
    <s v=""/>
    <s v=""/>
  </r>
  <r>
    <x v="3"/>
    <x v="53"/>
    <n v="100.00000144667339"/>
    <n v="100.00000144667339"/>
    <m/>
    <m/>
    <e v="#N/A"/>
    <n v="557"/>
    <n v="54"/>
    <n v="610"/>
    <n v="609"/>
    <e v="#N/A"/>
    <s v=""/>
    <s v=""/>
    <s v=""/>
  </r>
  <r>
    <x v="3"/>
    <x v="54"/>
    <n v="100.00000036266788"/>
    <n v="100.00000036266788"/>
    <m/>
    <m/>
    <e v="#N/A"/>
    <n v="557"/>
    <n v="55"/>
    <n v="611"/>
    <n v="610"/>
    <e v="#N/A"/>
    <s v=""/>
    <s v=""/>
    <s v=""/>
  </r>
  <r>
    <x v="3"/>
    <x v="55"/>
    <n v="100.00000002229895"/>
    <n v="100.00000002229895"/>
    <m/>
    <m/>
    <e v="#N/A"/>
    <n v="557"/>
    <n v="56"/>
    <n v="612"/>
    <n v="611"/>
    <e v="#N/A"/>
    <s v=""/>
    <s v=""/>
    <s v=""/>
  </r>
  <r>
    <x v="3"/>
    <x v="56"/>
    <n v="100.00000051077146"/>
    <n v="100.00000051077146"/>
    <m/>
    <m/>
    <e v="#N/A"/>
    <n v="557"/>
    <n v="57"/>
    <n v="613"/>
    <n v="612"/>
    <e v="#N/A"/>
    <s v=""/>
    <s v=""/>
    <s v=""/>
  </r>
  <r>
    <x v="3"/>
    <x v="57"/>
    <n v="100.00000021764413"/>
    <n v="100.00000021764413"/>
    <m/>
    <m/>
    <e v="#N/A"/>
    <n v="557"/>
    <n v="58"/>
    <n v="614"/>
    <n v="613"/>
    <e v="#N/A"/>
    <s v=""/>
    <s v=""/>
    <s v=""/>
  </r>
  <r>
    <x v="3"/>
    <x v="58"/>
    <n v="100.00000279949866"/>
    <n v="100.00000279949866"/>
    <m/>
    <m/>
    <e v="#N/A"/>
    <n v="557"/>
    <n v="59"/>
    <n v="615"/>
    <n v="614"/>
    <e v="#N/A"/>
    <s v=""/>
    <s v=""/>
    <s v=""/>
  </r>
  <r>
    <x v="3"/>
    <x v="59"/>
    <n v="100.00006939157359"/>
    <n v="100.00006939157359"/>
    <m/>
    <m/>
    <e v="#N/A"/>
    <n v="557"/>
    <n v="60"/>
    <n v="616"/>
    <n v="615"/>
    <e v="#N/A"/>
    <s v=""/>
    <s v=""/>
    <s v=""/>
  </r>
  <r>
    <x v="3"/>
    <x v="60"/>
    <n v="100.06287201096558"/>
    <n v="100.06287201096558"/>
    <m/>
    <m/>
    <e v="#N/A"/>
    <n v="557"/>
    <n v="61"/>
    <n v="617"/>
    <n v="616"/>
    <e v="#N/A"/>
    <s v=""/>
    <s v=""/>
    <s v=""/>
  </r>
  <r>
    <x v="3"/>
    <x v="61"/>
    <n v="100.00382651177524"/>
    <n v="100.00382651177524"/>
    <m/>
    <m/>
    <e v="#N/A"/>
    <n v="557"/>
    <n v="62"/>
    <n v="618"/>
    <n v="617"/>
    <e v="#N/A"/>
    <s v=""/>
    <s v=""/>
    <s v=""/>
  </r>
  <r>
    <x v="3"/>
    <x v="62"/>
    <n v="100.05783731513726"/>
    <n v="100.05783731513726"/>
    <m/>
    <m/>
    <e v="#N/A"/>
    <n v="557"/>
    <n v="63"/>
    <n v="619"/>
    <n v="618"/>
    <e v="#N/A"/>
    <s v=""/>
    <s v=""/>
    <s v=""/>
  </r>
  <r>
    <x v="3"/>
    <x v="63"/>
    <n v="104.16958302803829"/>
    <n v="104.16958302803829"/>
    <m/>
    <m/>
    <e v="#N/A"/>
    <n v="557"/>
    <n v="64"/>
    <n v="620"/>
    <n v="619"/>
    <e v="#N/A"/>
    <s v=""/>
    <s v=""/>
    <s v=""/>
  </r>
  <r>
    <x v="3"/>
    <x v="64"/>
    <n v="100.03896143414005"/>
    <n v="100.03896143414005"/>
    <m/>
    <m/>
    <e v="#N/A"/>
    <n v="557"/>
    <n v="65"/>
    <n v="621"/>
    <n v="620"/>
    <e v="#N/A"/>
    <s v=""/>
    <s v=""/>
    <s v=""/>
  </r>
  <r>
    <x v="3"/>
    <x v="65"/>
    <n v="100.50104265170546"/>
    <n v="100.50104265170546"/>
    <m/>
    <m/>
    <e v="#N/A"/>
    <n v="557"/>
    <n v="66"/>
    <n v="622"/>
    <n v="621"/>
    <e v="#N/A"/>
    <s v=""/>
    <s v=""/>
    <s v=""/>
  </r>
  <r>
    <x v="3"/>
    <x v="66"/>
    <n v="102.94302886525134"/>
    <n v="102.94302886525134"/>
    <m/>
    <m/>
    <e v="#N/A"/>
    <n v="557"/>
    <n v="67"/>
    <n v="623"/>
    <n v="622"/>
    <e v="#N/A"/>
    <s v=""/>
    <s v=""/>
    <s v=""/>
  </r>
  <r>
    <x v="3"/>
    <x v="67"/>
    <n v="112.48699753417911"/>
    <n v="112.48699753417911"/>
    <m/>
    <m/>
    <e v="#N/A"/>
    <n v="557"/>
    <n v="68"/>
    <n v="624"/>
    <n v="623"/>
    <e v="#N/A"/>
    <s v=""/>
    <s v=""/>
    <s v=""/>
  </r>
  <r>
    <x v="3"/>
    <x v="68"/>
    <n v="126.99041871397228"/>
    <n v="126.99041871397228"/>
    <m/>
    <m/>
    <e v="#N/A"/>
    <n v="557"/>
    <n v="69"/>
    <n v="625"/>
    <n v="624"/>
    <e v="#N/A"/>
    <s v=""/>
    <s v=""/>
    <s v=""/>
  </r>
  <r>
    <x v="3"/>
    <x v="69"/>
    <n v="112.37309393374949"/>
    <n v="112.37309393374949"/>
    <m/>
    <m/>
    <e v="#N/A"/>
    <n v="557"/>
    <n v="70"/>
    <n v="626"/>
    <n v="625"/>
    <e v="#N/A"/>
    <s v=""/>
    <s v=""/>
    <s v=""/>
  </r>
  <r>
    <x v="3"/>
    <x v="70"/>
    <n v="121.93893298378418"/>
    <n v="121.93893298378418"/>
    <m/>
    <m/>
    <e v="#N/A"/>
    <n v="557"/>
    <n v="71"/>
    <n v="627"/>
    <n v="626"/>
    <e v="#N/A"/>
    <s v=""/>
    <s v=""/>
    <s v=""/>
  </r>
  <r>
    <x v="3"/>
    <x v="71"/>
    <n v="136.31098914407119"/>
    <n v="136.31098914407119"/>
    <m/>
    <m/>
    <e v="#N/A"/>
    <n v="557"/>
    <n v="72"/>
    <n v="628"/>
    <n v="627"/>
    <e v="#N/A"/>
    <s v=""/>
    <s v=""/>
    <s v=""/>
  </r>
  <r>
    <x v="3"/>
    <x v="72"/>
    <n v="122.93854622731325"/>
    <n v="122.93854622731325"/>
    <m/>
    <m/>
    <e v="#N/A"/>
    <n v="557"/>
    <n v="73"/>
    <n v="629"/>
    <n v="628"/>
    <e v="#N/A"/>
    <s v=""/>
    <s v=""/>
    <s v=""/>
  </r>
  <r>
    <x v="3"/>
    <x v="73"/>
    <n v="111.43863206581604"/>
    <n v="111.43863206581604"/>
    <m/>
    <m/>
    <e v="#N/A"/>
    <n v="557"/>
    <n v="74"/>
    <n v="630"/>
    <n v="629"/>
    <e v="#N/A"/>
    <s v=""/>
    <s v=""/>
    <s v=""/>
  </r>
  <r>
    <x v="3"/>
    <x v="74"/>
    <n v="104.65998561338068"/>
    <n v="104.65998561338068"/>
    <m/>
    <m/>
    <e v="#N/A"/>
    <n v="557"/>
    <n v="75"/>
    <n v="631"/>
    <n v="630"/>
    <e v="#N/A"/>
    <s v=""/>
    <s v=""/>
    <s v=""/>
  </r>
  <r>
    <x v="3"/>
    <x v="75"/>
    <n v="130.39703705774167"/>
    <n v="130.39703705774167"/>
    <m/>
    <m/>
    <e v="#N/A"/>
    <n v="557"/>
    <n v="76"/>
    <n v="632"/>
    <n v="631"/>
    <e v="#N/A"/>
    <s v=""/>
    <s v=""/>
    <s v=""/>
  </r>
  <r>
    <x v="3"/>
    <x v="76"/>
    <n v="110.26182557588483"/>
    <n v="110.26182557588483"/>
    <m/>
    <m/>
    <e v="#N/A"/>
    <n v="557"/>
    <n v="77"/>
    <n v="633"/>
    <n v="632"/>
    <e v="#N/A"/>
    <s v=""/>
    <s v=""/>
    <s v=""/>
  </r>
  <r>
    <x v="3"/>
    <x v="77"/>
    <n v="105.76618940902274"/>
    <n v="105.76618940902274"/>
    <m/>
    <m/>
    <e v="#N/A"/>
    <n v="557"/>
    <n v="78"/>
    <n v="634"/>
    <n v="633"/>
    <e v="#N/A"/>
    <s v=""/>
    <s v=""/>
    <s v=""/>
  </r>
  <r>
    <x v="3"/>
    <x v="78"/>
    <n v="101.0751852150912"/>
    <n v="101.0751852150912"/>
    <m/>
    <m/>
    <e v="#N/A"/>
    <n v="557"/>
    <n v="79"/>
    <n v="635"/>
    <n v="634"/>
    <e v="#N/A"/>
    <s v=""/>
    <s v=""/>
    <s v=""/>
  </r>
  <r>
    <x v="3"/>
    <x v="79"/>
    <n v="100.16138951016762"/>
    <n v="100.16138951016762"/>
    <m/>
    <m/>
    <e v="#N/A"/>
    <n v="557"/>
    <n v="80"/>
    <n v="636"/>
    <n v="635"/>
    <e v="#N/A"/>
    <s v=""/>
    <s v=""/>
    <s v=""/>
  </r>
  <r>
    <x v="3"/>
    <x v="80"/>
    <n v="107.03346422361165"/>
    <n v="107.03346422361165"/>
    <m/>
    <m/>
    <e v="#N/A"/>
    <n v="557"/>
    <n v="81"/>
    <n v="637"/>
    <n v="636"/>
    <e v="#N/A"/>
    <s v=""/>
    <s v=""/>
    <s v=""/>
  </r>
  <r>
    <x v="3"/>
    <x v="81"/>
    <n v="100.85428070692998"/>
    <n v="100.85428070692998"/>
    <m/>
    <m/>
    <e v="#N/A"/>
    <n v="557"/>
    <n v="82"/>
    <n v="638"/>
    <n v="637"/>
    <e v="#N/A"/>
    <s v=""/>
    <s v=""/>
    <s v=""/>
  </r>
  <r>
    <x v="3"/>
    <x v="82"/>
    <n v="101.95496180679837"/>
    <n v="101.95496180679837"/>
    <m/>
    <m/>
    <e v="#N/A"/>
    <n v="557"/>
    <n v="83"/>
    <n v="639"/>
    <n v="638"/>
    <e v="#N/A"/>
    <s v=""/>
    <s v=""/>
    <s v=""/>
  </r>
  <r>
    <x v="3"/>
    <x v="83"/>
    <n v="103.35428748338877"/>
    <n v="103.35428748338877"/>
    <m/>
    <m/>
    <e v="#N/A"/>
    <n v="557"/>
    <n v="84"/>
    <n v="640"/>
    <n v="639"/>
    <e v="#N/A"/>
    <s v=""/>
    <s v=""/>
    <s v=""/>
  </r>
  <r>
    <x v="3"/>
    <x v="84"/>
    <n v="100.52505452324139"/>
    <n v="100.52505452324139"/>
    <m/>
    <m/>
    <e v="#N/A"/>
    <n v="557"/>
    <n v="85"/>
    <n v="641"/>
    <n v="640"/>
    <e v="#N/A"/>
    <s v=""/>
    <s v=""/>
    <s v=""/>
  </r>
  <r>
    <x v="3"/>
    <x v="85"/>
    <n v="101.85631636865168"/>
    <n v="101.85631636865168"/>
    <m/>
    <m/>
    <e v="#N/A"/>
    <n v="557"/>
    <n v="86"/>
    <n v="642"/>
    <n v="641"/>
    <e v="#N/A"/>
    <s v=""/>
    <s v=""/>
    <s v=""/>
  </r>
  <r>
    <x v="3"/>
    <x v="86"/>
    <n v="100.29187715358005"/>
    <n v="100.29187715358005"/>
    <m/>
    <m/>
    <e v="#N/A"/>
    <n v="557"/>
    <n v="87"/>
    <n v="643"/>
    <n v="642"/>
    <e v="#N/A"/>
    <s v=""/>
    <s v=""/>
    <s v=""/>
  </r>
  <r>
    <x v="3"/>
    <x v="87"/>
    <n v="104.8544405244116"/>
    <n v="104.8544405244116"/>
    <m/>
    <m/>
    <e v="#N/A"/>
    <n v="557"/>
    <n v="88"/>
    <n v="644"/>
    <n v="643"/>
    <e v="#N/A"/>
    <s v=""/>
    <s v=""/>
    <s v=""/>
  </r>
  <r>
    <x v="3"/>
    <x v="88"/>
    <n v="107.35405121994214"/>
    <n v="107.35405121994214"/>
    <m/>
    <m/>
    <e v="#N/A"/>
    <n v="557"/>
    <n v="89"/>
    <n v="645"/>
    <n v="644"/>
    <e v="#N/A"/>
    <s v=""/>
    <s v=""/>
    <s v=""/>
  </r>
  <r>
    <x v="3"/>
    <x v="89"/>
    <n v="109.89130185345232"/>
    <n v="109.89130185345232"/>
    <m/>
    <m/>
    <e v="#N/A"/>
    <n v="557"/>
    <n v="90"/>
    <n v="646"/>
    <n v="645"/>
    <e v="#N/A"/>
    <s v=""/>
    <s v=""/>
    <s v=""/>
  </r>
  <r>
    <x v="3"/>
    <x v="90"/>
    <n v="105.47477312306877"/>
    <n v="105.47477312306877"/>
    <m/>
    <m/>
    <e v="#N/A"/>
    <n v="557"/>
    <n v="91"/>
    <n v="647"/>
    <n v="646"/>
    <e v="#N/A"/>
    <s v=""/>
    <s v=""/>
    <s v=""/>
  </r>
  <r>
    <x v="3"/>
    <x v="91"/>
    <n v="105.05042837128441"/>
    <n v="105.05042837128441"/>
    <m/>
    <m/>
    <e v="#N/A"/>
    <n v="557"/>
    <n v="92"/>
    <n v="648"/>
    <n v="647"/>
    <e v="#N/A"/>
    <s v=""/>
    <s v=""/>
    <s v=""/>
  </r>
  <r>
    <x v="3"/>
    <x v="92"/>
    <n v="108.81918692221258"/>
    <n v="108.81918692221258"/>
    <m/>
    <m/>
    <e v="#N/A"/>
    <n v="557"/>
    <n v="93"/>
    <n v="649"/>
    <n v="648"/>
    <e v="#N/A"/>
    <s v=""/>
    <s v=""/>
    <s v=""/>
  </r>
  <r>
    <x v="3"/>
    <x v="93"/>
    <n v="113.0851853069254"/>
    <n v="113.0851853069254"/>
    <m/>
    <m/>
    <e v="#N/A"/>
    <n v="557"/>
    <n v="94"/>
    <n v="650"/>
    <n v="649"/>
    <e v="#N/A"/>
    <s v=""/>
    <s v=""/>
    <s v=""/>
  </r>
  <r>
    <x v="3"/>
    <x v="94"/>
    <n v="118.45451758970998"/>
    <n v="118.45451758970998"/>
    <m/>
    <m/>
    <e v="#N/A"/>
    <n v="557"/>
    <n v="95"/>
    <n v="651"/>
    <n v="650"/>
    <e v="#N/A"/>
    <s v=""/>
    <s v=""/>
    <s v=""/>
  </r>
  <r>
    <x v="3"/>
    <x v="95"/>
    <n v="101.95160557253656"/>
    <n v="101.95160557253656"/>
    <m/>
    <m/>
    <e v="#N/A"/>
    <n v="557"/>
    <n v="96"/>
    <n v="652"/>
    <n v="651"/>
    <e v="#N/A"/>
    <s v=""/>
    <s v=""/>
    <s v=""/>
  </r>
  <r>
    <x v="3"/>
    <x v="96"/>
    <n v="102.91753806553893"/>
    <n v="102.91753806553893"/>
    <m/>
    <m/>
    <e v="#N/A"/>
    <n v="557"/>
    <n v="97"/>
    <n v="653"/>
    <n v="652"/>
    <e v="#N/A"/>
    <s v=""/>
    <s v=""/>
    <s v=""/>
  </r>
  <r>
    <x v="3"/>
    <x v="97"/>
    <n v="104.66584395845631"/>
    <n v="104.66584395845631"/>
    <m/>
    <m/>
    <e v="#N/A"/>
    <n v="557"/>
    <n v="98"/>
    <n v="654"/>
    <n v="653"/>
    <e v="#N/A"/>
    <s v=""/>
    <s v=""/>
    <s v=""/>
  </r>
  <r>
    <x v="3"/>
    <x v="98"/>
    <n v="100.71079737386316"/>
    <n v="100.71079737386316"/>
    <m/>
    <m/>
    <e v="#N/A"/>
    <n v="557"/>
    <n v="99"/>
    <n v="655"/>
    <n v="654"/>
    <e v="#N/A"/>
    <s v=""/>
    <s v=""/>
    <s v=""/>
  </r>
  <r>
    <x v="3"/>
    <x v="99"/>
    <n v="100.33598072424367"/>
    <n v="100.33598072424367"/>
    <m/>
    <m/>
    <e v="#N/A"/>
    <n v="557"/>
    <n v="100"/>
    <n v="656"/>
    <n v="655"/>
    <e v="#N/A"/>
    <s v=""/>
    <s v=""/>
    <s v=""/>
  </r>
  <r>
    <x v="3"/>
    <x v="100"/>
    <n v="100.07976482764678"/>
    <n v="100.07976482764678"/>
    <m/>
    <m/>
    <e v="#N/A"/>
    <n v="557"/>
    <n v="101"/>
    <n v="657"/>
    <n v="656"/>
    <e v="#N/A"/>
    <s v=""/>
    <s v=""/>
    <s v=""/>
  </r>
  <r>
    <x v="3"/>
    <x v="101"/>
    <n v="100.34121293021138"/>
    <n v="100.34121293021138"/>
    <m/>
    <m/>
    <e v="#N/A"/>
    <n v="557"/>
    <n v="102"/>
    <n v="658"/>
    <n v="657"/>
    <e v="#N/A"/>
    <s v=""/>
    <s v=""/>
    <s v=""/>
  </r>
  <r>
    <x v="3"/>
    <x v="102"/>
    <n v="100.26493431914309"/>
    <n v="100.26493431914309"/>
    <m/>
    <m/>
    <e v="#N/A"/>
    <n v="557"/>
    <n v="103"/>
    <n v="659"/>
    <n v="658"/>
    <e v="#N/A"/>
    <s v=""/>
    <s v=""/>
    <s v=""/>
  </r>
  <r>
    <x v="3"/>
    <x v="103"/>
    <n v="100.09086031983007"/>
    <n v="100.09086031983007"/>
    <m/>
    <m/>
    <e v="#N/A"/>
    <n v="557"/>
    <n v="104"/>
    <n v="660"/>
    <n v="659"/>
    <e v="#N/A"/>
    <s v=""/>
    <s v=""/>
    <s v=""/>
  </r>
  <r>
    <x v="3"/>
    <x v="104"/>
    <n v="100.000000008889"/>
    <n v="100.000000008889"/>
    <m/>
    <m/>
    <e v="#N/A"/>
    <n v="557"/>
    <n v="105"/>
    <n v="661"/>
    <n v="660"/>
    <e v="#N/A"/>
    <s v=""/>
    <s v=""/>
    <s v=""/>
  </r>
  <r>
    <x v="3"/>
    <x v="105"/>
    <n v="100.00000005683501"/>
    <n v="100.00000005683501"/>
    <m/>
    <m/>
    <e v="#N/A"/>
    <n v="557"/>
    <n v="106"/>
    <n v="662"/>
    <n v="661"/>
    <e v="#N/A"/>
    <s v=""/>
    <s v=""/>
    <s v=""/>
  </r>
  <r>
    <x v="3"/>
    <x v="106"/>
    <n v="100.00000025101076"/>
    <n v="100.00000025101076"/>
    <m/>
    <m/>
    <e v="#N/A"/>
    <n v="557"/>
    <n v="107"/>
    <n v="663"/>
    <n v="662"/>
    <e v="#N/A"/>
    <s v=""/>
    <s v=""/>
    <s v=""/>
  </r>
  <r>
    <x v="3"/>
    <x v="107"/>
    <n v="100.00217775891427"/>
    <n v="100.00217775891427"/>
    <m/>
    <m/>
    <e v="#N/A"/>
    <n v="557"/>
    <n v="108"/>
    <n v="664"/>
    <n v="663"/>
    <e v="#N/A"/>
    <s v=""/>
    <s v=""/>
    <s v=""/>
  </r>
  <r>
    <x v="3"/>
    <x v="108"/>
    <n v="100.00000504807301"/>
    <n v="100.00000504807301"/>
    <m/>
    <m/>
    <e v="#N/A"/>
    <n v="557"/>
    <n v="109"/>
    <n v="665"/>
    <n v="664"/>
    <e v="#N/A"/>
    <s v=""/>
    <s v=""/>
    <s v=""/>
  </r>
  <r>
    <x v="3"/>
    <x v="109"/>
    <n v="100.01594053061174"/>
    <n v="100.01594053061174"/>
    <m/>
    <m/>
    <e v="#N/A"/>
    <n v="557"/>
    <n v="110"/>
    <n v="666"/>
    <n v="665"/>
    <e v="#N/A"/>
    <s v=""/>
    <s v=""/>
    <s v=""/>
  </r>
  <r>
    <x v="3"/>
    <x v="110"/>
    <n v="100.00204224833618"/>
    <n v="100.00204224833618"/>
    <m/>
    <m/>
    <e v="#N/A"/>
    <n v="557"/>
    <n v="111"/>
    <n v="667"/>
    <n v="666"/>
    <e v="#N/A"/>
    <s v=""/>
    <s v=""/>
    <s v=""/>
  </r>
  <r>
    <x v="3"/>
    <x v="111"/>
    <n v="100.00004339386403"/>
    <n v="100.00004339386403"/>
    <m/>
    <m/>
    <e v="#N/A"/>
    <n v="557"/>
    <n v="112"/>
    <n v="668"/>
    <n v="667"/>
    <e v="#N/A"/>
    <s v=""/>
    <s v=""/>
    <s v=""/>
  </r>
  <r>
    <x v="3"/>
    <x v="112"/>
    <n v="100.05503383403891"/>
    <n v="100.05503383403891"/>
    <m/>
    <m/>
    <e v="#N/A"/>
    <n v="557"/>
    <n v="113"/>
    <n v="669"/>
    <n v="668"/>
    <e v="#N/A"/>
    <s v=""/>
    <s v=""/>
    <s v=""/>
  </r>
  <r>
    <x v="3"/>
    <x v="113"/>
    <n v="100.01153686870794"/>
    <n v="100.01153686870794"/>
    <m/>
    <m/>
    <e v="#N/A"/>
    <n v="557"/>
    <n v="114"/>
    <n v="670"/>
    <n v="669"/>
    <e v="#N/A"/>
    <s v=""/>
    <s v=""/>
    <s v=""/>
  </r>
  <r>
    <x v="3"/>
    <x v="114"/>
    <n v="100.00498341946312"/>
    <n v="100.00498341946312"/>
    <m/>
    <m/>
    <e v="#N/A"/>
    <n v="557"/>
    <n v="115"/>
    <n v="671"/>
    <n v="670"/>
    <e v="#N/A"/>
    <s v=""/>
    <s v=""/>
    <s v=""/>
  </r>
  <r>
    <x v="3"/>
    <x v="115"/>
    <n v="100.1385398540915"/>
    <n v="100.1385398540915"/>
    <m/>
    <m/>
    <e v="#N/A"/>
    <n v="557"/>
    <n v="116"/>
    <n v="672"/>
    <n v="671"/>
    <e v="#N/A"/>
    <s v=""/>
    <s v=""/>
    <s v=""/>
  </r>
  <r>
    <x v="3"/>
    <x v="116"/>
    <n v="105.21332598177921"/>
    <n v="105.21332598177921"/>
    <m/>
    <m/>
    <e v="#N/A"/>
    <n v="557"/>
    <n v="117"/>
    <n v="673"/>
    <n v="672"/>
    <e v="#N/A"/>
    <s v=""/>
    <s v=""/>
    <s v=""/>
  </r>
  <r>
    <x v="3"/>
    <x v="117"/>
    <n v="103.06731277844719"/>
    <n v="103.06731277844719"/>
    <m/>
    <m/>
    <e v="#N/A"/>
    <n v="557"/>
    <n v="118"/>
    <n v="674"/>
    <n v="673"/>
    <e v="#N/A"/>
    <s v=""/>
    <s v=""/>
    <s v=""/>
  </r>
  <r>
    <x v="3"/>
    <x v="118"/>
    <n v="100.06010380312892"/>
    <n v="100.06010380312892"/>
    <m/>
    <m/>
    <e v="#N/A"/>
    <n v="557"/>
    <n v="119"/>
    <n v="675"/>
    <n v="674"/>
    <e v="#N/A"/>
    <s v=""/>
    <s v=""/>
    <s v=""/>
  </r>
  <r>
    <x v="3"/>
    <x v="119"/>
    <n v="135.71626549949389"/>
    <n v="135.71626549949389"/>
    <m/>
    <m/>
    <e v="#N/A"/>
    <n v="557"/>
    <n v="120"/>
    <n v="676"/>
    <n v="675"/>
    <e v="#N/A"/>
    <s v=""/>
    <s v=""/>
    <s v=""/>
  </r>
  <r>
    <x v="3"/>
    <x v="120"/>
    <n v="117.35550995064538"/>
    <n v="117.35550995064538"/>
    <m/>
    <m/>
    <e v="#N/A"/>
    <n v="557"/>
    <n v="121"/>
    <n v="677"/>
    <n v="676"/>
    <e v="#N/A"/>
    <s v=""/>
    <s v=""/>
    <s v=""/>
  </r>
  <r>
    <x v="3"/>
    <x v="121"/>
    <n v="134.32240022497177"/>
    <n v="134.32240022497177"/>
    <m/>
    <m/>
    <e v="#N/A"/>
    <n v="557"/>
    <n v="122"/>
    <n v="678"/>
    <n v="677"/>
    <e v="#N/A"/>
    <s v=""/>
    <s v=""/>
    <s v=""/>
  </r>
  <r>
    <x v="3"/>
    <x v="122"/>
    <n v="127.5143392422065"/>
    <n v="127.5143392422065"/>
    <m/>
    <m/>
    <e v="#N/A"/>
    <n v="557"/>
    <n v="123"/>
    <n v="679"/>
    <n v="678"/>
    <e v="#N/A"/>
    <s v=""/>
    <s v=""/>
    <s v=""/>
  </r>
  <r>
    <x v="3"/>
    <x v="123"/>
    <n v="125.59348385737232"/>
    <n v="125.59348385737232"/>
    <m/>
    <m/>
    <e v="#N/A"/>
    <n v="557"/>
    <n v="124"/>
    <n v="680"/>
    <n v="679"/>
    <e v="#N/A"/>
    <s v=""/>
    <s v=""/>
    <s v=""/>
  </r>
  <r>
    <x v="3"/>
    <x v="124"/>
    <n v="124.47843301099826"/>
    <n v="124.47843301099826"/>
    <m/>
    <m/>
    <e v="#N/A"/>
    <n v="557"/>
    <n v="125"/>
    <n v="681"/>
    <n v="680"/>
    <e v="#N/A"/>
    <s v=""/>
    <s v=""/>
    <s v=""/>
  </r>
  <r>
    <x v="3"/>
    <x v="125"/>
    <n v="123.29195234399064"/>
    <n v="123.29195234399064"/>
    <m/>
    <m/>
    <e v="#N/A"/>
    <n v="557"/>
    <n v="126"/>
    <n v="682"/>
    <n v="681"/>
    <e v="#N/A"/>
    <s v=""/>
    <s v=""/>
    <s v=""/>
  </r>
  <r>
    <x v="3"/>
    <x v="126"/>
    <n v="120.81594567049818"/>
    <n v="120.81594567049818"/>
    <m/>
    <m/>
    <e v="#N/A"/>
    <n v="557"/>
    <n v="127"/>
    <n v="683"/>
    <n v="682"/>
    <e v="#N/A"/>
    <s v=""/>
    <s v=""/>
    <s v=""/>
  </r>
  <r>
    <x v="3"/>
    <x v="127"/>
    <n v="122.90531585540137"/>
    <n v="122.90531585540137"/>
    <m/>
    <m/>
    <e v="#N/A"/>
    <n v="557"/>
    <n v="128"/>
    <n v="684"/>
    <n v="683"/>
    <e v="#N/A"/>
    <s v=""/>
    <s v=""/>
    <s v=""/>
  </r>
  <r>
    <x v="3"/>
    <x v="128"/>
    <n v="114.9339034282124"/>
    <n v="114.9339034282124"/>
    <m/>
    <m/>
    <e v="#N/A"/>
    <n v="557"/>
    <n v="129"/>
    <n v="685"/>
    <n v="684"/>
    <e v="#N/A"/>
    <s v=""/>
    <s v=""/>
    <s v=""/>
  </r>
  <r>
    <x v="3"/>
    <x v="129"/>
    <n v="103.53552374154809"/>
    <n v="103.53552374154809"/>
    <m/>
    <m/>
    <e v="#N/A"/>
    <n v="557"/>
    <n v="130"/>
    <n v="686"/>
    <n v="685"/>
    <e v="#N/A"/>
    <s v=""/>
    <s v=""/>
    <s v=""/>
  </r>
  <r>
    <x v="3"/>
    <x v="130"/>
    <n v="100.84741518260516"/>
    <n v="100.84741518260516"/>
    <m/>
    <m/>
    <e v="#N/A"/>
    <n v="557"/>
    <n v="131"/>
    <n v="687"/>
    <n v="686"/>
    <e v="#N/A"/>
    <s v=""/>
    <s v=""/>
    <s v=""/>
  </r>
  <r>
    <x v="3"/>
    <x v="131"/>
    <n v="100.32298685400696"/>
    <n v="100.32298685400696"/>
    <m/>
    <m/>
    <e v="#N/A"/>
    <n v="557"/>
    <n v="132"/>
    <n v="688"/>
    <n v="687"/>
    <e v="#N/A"/>
    <s v=""/>
    <s v=""/>
    <s v=""/>
  </r>
  <r>
    <x v="3"/>
    <x v="132"/>
    <n v="100.22206429619688"/>
    <n v="100.22206429619688"/>
    <m/>
    <m/>
    <e v="#N/A"/>
    <n v="557"/>
    <n v="133"/>
    <n v="689"/>
    <n v="688"/>
    <e v="#N/A"/>
    <s v=""/>
    <s v=""/>
    <s v=""/>
  </r>
  <r>
    <x v="3"/>
    <x v="133"/>
    <n v="101.07598657422145"/>
    <n v="101.07598657422145"/>
    <m/>
    <m/>
    <e v="#N/A"/>
    <n v="557"/>
    <n v="134"/>
    <n v="690"/>
    <n v="689"/>
    <e v="#N/A"/>
    <s v=""/>
    <s v=""/>
    <s v=""/>
  </r>
  <r>
    <x v="3"/>
    <x v="134"/>
    <n v="101.80879066192689"/>
    <n v="101.80879066192689"/>
    <m/>
    <m/>
    <e v="#N/A"/>
    <n v="557"/>
    <n v="135"/>
    <n v="691"/>
    <n v="690"/>
    <e v="#N/A"/>
    <s v=""/>
    <s v=""/>
    <s v=""/>
  </r>
  <r>
    <x v="3"/>
    <x v="135"/>
    <n v="103.62303383371957"/>
    <n v="103.62303383371957"/>
    <m/>
    <m/>
    <e v="#N/A"/>
    <n v="557"/>
    <n v="136"/>
    <n v="692"/>
    <n v="691"/>
    <e v="#N/A"/>
    <s v=""/>
    <s v=""/>
    <s v=""/>
  </r>
  <r>
    <x v="3"/>
    <x v="136"/>
    <n v="102.00392963790121"/>
    <n v="102.00392963790121"/>
    <m/>
    <m/>
    <e v="#N/A"/>
    <n v="557"/>
    <n v="137"/>
    <n v="693"/>
    <n v="692"/>
    <e v="#N/A"/>
    <s v=""/>
    <s v=""/>
    <s v=""/>
  </r>
  <r>
    <x v="3"/>
    <x v="137"/>
    <n v="101.20542274119238"/>
    <n v="101.20542274119238"/>
    <m/>
    <m/>
    <e v="#N/A"/>
    <n v="557"/>
    <n v="138"/>
    <n v="694"/>
    <n v="693"/>
    <e v="#N/A"/>
    <s v=""/>
    <s v=""/>
    <s v=""/>
  </r>
  <r>
    <x v="3"/>
    <x v="138"/>
    <n v="107.3894653628073"/>
    <n v="107.3894653628073"/>
    <m/>
    <m/>
    <e v="#N/A"/>
    <n v="557"/>
    <n v="139"/>
    <n v="695"/>
    <n v="694"/>
    <e v="#N/A"/>
    <s v=""/>
    <s v=""/>
    <s v=""/>
  </r>
  <r>
    <x v="3"/>
    <x v="139"/>
    <n v="114.77382199175977"/>
    <n v="114.77382199175977"/>
    <m/>
    <m/>
    <e v="#N/A"/>
    <n v="557"/>
    <n v="140"/>
    <n v="696"/>
    <n v="695"/>
    <e v="#N/A"/>
    <s v=""/>
    <s v=""/>
    <s v=""/>
  </r>
  <r>
    <x v="3"/>
    <x v="140"/>
    <n v="111.98964077978022"/>
    <n v="111.98964077978022"/>
    <m/>
    <m/>
    <e v="#N/A"/>
    <n v="557"/>
    <n v="141"/>
    <n v="697"/>
    <n v="696"/>
    <e v="#N/A"/>
    <s v=""/>
    <s v=""/>
    <s v=""/>
  </r>
  <r>
    <x v="3"/>
    <x v="141"/>
    <n v="117.81224182027853"/>
    <n v="117.81224182027853"/>
    <m/>
    <m/>
    <e v="#N/A"/>
    <n v="557"/>
    <n v="142"/>
    <n v="698"/>
    <n v="697"/>
    <e v="#N/A"/>
    <s v=""/>
    <s v=""/>
    <s v=""/>
  </r>
  <r>
    <x v="3"/>
    <x v="142"/>
    <n v="109.96736129177128"/>
    <n v="109.96736129177128"/>
    <m/>
    <m/>
    <e v="#N/A"/>
    <n v="557"/>
    <n v="143"/>
    <n v="699"/>
    <n v="698"/>
    <e v="#N/A"/>
    <s v=""/>
    <s v=""/>
    <s v=""/>
  </r>
  <r>
    <x v="3"/>
    <x v="143"/>
    <n v="110.39105191708948"/>
    <n v="110.39105191708948"/>
    <m/>
    <m/>
    <e v="#N/A"/>
    <n v="557"/>
    <n v="144"/>
    <n v="700"/>
    <n v="699"/>
    <e v="#N/A"/>
    <s v=""/>
    <s v=""/>
    <s v=""/>
  </r>
  <r>
    <x v="3"/>
    <x v="144"/>
    <n v="103.10215108060716"/>
    <n v="103.10215108060716"/>
    <m/>
    <m/>
    <e v="#N/A"/>
    <n v="557"/>
    <n v="145"/>
    <n v="701"/>
    <n v="700"/>
    <e v="#N/A"/>
    <s v=""/>
    <s v=""/>
    <s v=""/>
  </r>
  <r>
    <x v="3"/>
    <x v="145"/>
    <n v="111.81350971861177"/>
    <n v="111.81350971861177"/>
    <m/>
    <m/>
    <e v="#N/A"/>
    <n v="557"/>
    <n v="146"/>
    <n v="702"/>
    <n v="701"/>
    <e v="#N/A"/>
    <s v=""/>
    <s v=""/>
    <s v=""/>
  </r>
  <r>
    <x v="3"/>
    <x v="146"/>
    <n v="111.2810074650649"/>
    <n v="111.2810074650649"/>
    <m/>
    <m/>
    <e v="#N/A"/>
    <n v="557"/>
    <n v="147"/>
    <n v="703"/>
    <n v="702"/>
    <e v="#N/A"/>
    <s v=""/>
    <s v=""/>
    <s v=""/>
  </r>
  <r>
    <x v="3"/>
    <x v="147"/>
    <n v="112.4764444937688"/>
    <n v="112.4764444937688"/>
    <m/>
    <m/>
    <e v="#N/A"/>
    <n v="557"/>
    <n v="148"/>
    <n v="704"/>
    <n v="703"/>
    <e v="#N/A"/>
    <s v=""/>
    <s v=""/>
    <s v=""/>
  </r>
  <r>
    <x v="3"/>
    <x v="148"/>
    <n v="104.09379022157997"/>
    <n v="104.09379022157997"/>
    <m/>
    <m/>
    <e v="#N/A"/>
    <n v="557"/>
    <n v="149"/>
    <n v="705"/>
    <n v="704"/>
    <e v="#N/A"/>
    <s v=""/>
    <s v=""/>
    <s v=""/>
  </r>
  <r>
    <x v="3"/>
    <x v="149"/>
    <n v="118.3013889918617"/>
    <n v="118.3013889918617"/>
    <m/>
    <m/>
    <e v="#N/A"/>
    <n v="557"/>
    <n v="150"/>
    <n v="706"/>
    <n v="705"/>
    <e v="#N/A"/>
    <s v=""/>
    <s v=""/>
    <s v=""/>
  </r>
  <r>
    <x v="3"/>
    <x v="150"/>
    <n v="103.10753625726018"/>
    <n v="103.10753625726018"/>
    <m/>
    <m/>
    <e v="#N/A"/>
    <n v="557"/>
    <n v="151"/>
    <n v="707"/>
    <n v="706"/>
    <e v="#N/A"/>
    <s v=""/>
    <s v=""/>
    <s v=""/>
  </r>
  <r>
    <x v="3"/>
    <x v="151"/>
    <n v="102.09833317821447"/>
    <n v="102.09833317821447"/>
    <m/>
    <m/>
    <e v="#N/A"/>
    <n v="557"/>
    <n v="152"/>
    <n v="708"/>
    <n v="707"/>
    <e v="#N/A"/>
    <s v=""/>
    <s v=""/>
    <s v=""/>
  </r>
  <r>
    <x v="3"/>
    <x v="152"/>
    <n v="102.01027277514251"/>
    <n v="102.01027277514251"/>
    <m/>
    <m/>
    <e v="#N/A"/>
    <n v="557"/>
    <n v="153"/>
    <n v="709"/>
    <n v="708"/>
    <e v="#N/A"/>
    <s v=""/>
    <s v=""/>
    <s v=""/>
  </r>
  <r>
    <x v="3"/>
    <x v="153"/>
    <n v="100.86920647524559"/>
    <n v="100.86920647524559"/>
    <m/>
    <m/>
    <e v="#N/A"/>
    <n v="557"/>
    <n v="154"/>
    <n v="710"/>
    <n v="709"/>
    <e v="#N/A"/>
    <s v=""/>
    <s v=""/>
    <s v=""/>
  </r>
  <r>
    <x v="3"/>
    <x v="154"/>
    <n v="100.80804966486646"/>
    <n v="100.80804966486646"/>
    <m/>
    <m/>
    <e v="#N/A"/>
    <n v="557"/>
    <n v="155"/>
    <n v="711"/>
    <n v="710"/>
    <e v="#N/A"/>
    <s v=""/>
    <s v=""/>
    <s v=""/>
  </r>
  <r>
    <x v="3"/>
    <x v="155"/>
    <n v="100.64202178656436"/>
    <n v="100.64202178656436"/>
    <m/>
    <m/>
    <e v="#N/A"/>
    <n v="557"/>
    <n v="156"/>
    <n v="712"/>
    <n v="711"/>
    <e v="#N/A"/>
    <s v=""/>
    <s v=""/>
    <s v=""/>
  </r>
  <r>
    <x v="3"/>
    <x v="156"/>
    <n v="100.0000000003073"/>
    <m/>
    <n v="100.0000000003073"/>
    <n v="102.1606699896931"/>
    <n v="106.37938280061971"/>
    <n v="557"/>
    <s v=""/>
    <n v="712"/>
    <n v="712"/>
    <n v="101.31529651031526"/>
    <n v="1.3152965100079683"/>
    <n v="2.1606699893858092"/>
    <n v="6.3793828003124133"/>
  </r>
  <r>
    <x v="3"/>
    <x v="157"/>
    <n v="100.00000044143816"/>
    <m/>
    <n v="100.00000044143816"/>
    <n v="102.16652420090173"/>
    <n v="102.02133717146569"/>
    <n v="557"/>
    <s v=""/>
    <n v="712"/>
    <n v="713"/>
    <n v="101.33063134226735"/>
    <n v="1.3306309008291919"/>
    <n v="2.1665237594635727"/>
    <n v="2.021336730027528"/>
  </r>
  <r>
    <x v="3"/>
    <x v="158"/>
    <n v="100.00000000107066"/>
    <m/>
    <n v="100.00000000107066"/>
    <n v="102.17134052502657"/>
    <n v="101.44646552336725"/>
    <n v="557"/>
    <s v=""/>
    <n v="712"/>
    <n v="714"/>
    <n v="101.35016250181371"/>
    <n v="1.3501625007430533"/>
    <n v="2.1713405239559052"/>
    <n v="1.4464655222965916"/>
  </r>
  <r>
    <x v="3"/>
    <x v="159"/>
    <n v="100.00000508020175"/>
    <m/>
    <n v="100.00000508020175"/>
    <n v="102.17613002710898"/>
    <n v="101.08238767545473"/>
    <n v="557"/>
    <s v=""/>
    <n v="712"/>
    <n v="715"/>
    <n v="101.36598737972636"/>
    <n v="1.3659822995246174"/>
    <n v="2.1761249469072368"/>
    <n v="1.0823825952529802"/>
  </r>
  <r>
    <x v="3"/>
    <x v="160"/>
    <n v="100.00001691502163"/>
    <m/>
    <n v="100.00001691502163"/>
    <n v="102.17841452742478"/>
    <n v="100.57981948174591"/>
    <n v="557"/>
    <s v=""/>
    <n v="712"/>
    <n v="716"/>
    <n v="101.37991073293932"/>
    <n v="1.3798938179176901"/>
    <n v="2.1783976124031454"/>
    <n v="0.57980256672428254"/>
  </r>
  <r>
    <x v="3"/>
    <x v="161"/>
    <n v="100.00022911540003"/>
    <m/>
    <n v="100.00022911540003"/>
    <n v="102.18607684110169"/>
    <n v="100.36251797329406"/>
    <n v="557"/>
    <s v=""/>
    <n v="712"/>
    <n v="717"/>
    <n v="101.41302727955738"/>
    <n v="1.4127981641573513"/>
    <n v="2.1858477257016631"/>
    <n v="0.36228885789402909"/>
  </r>
  <r>
    <x v="3"/>
    <x v="162"/>
    <n v="100.00041171929439"/>
    <m/>
    <n v="100.00041171929439"/>
    <n v="102.23584099241447"/>
    <n v="100.16050555734512"/>
    <n v="557"/>
    <s v=""/>
    <n v="712"/>
    <n v="718"/>
    <n v="101.47191539827777"/>
    <n v="1.4715036789833817"/>
    <n v="2.2354292731200758"/>
    <n v="0.1600938380507273"/>
  </r>
  <r>
    <x v="3"/>
    <x v="163"/>
    <n v="100.00022718824503"/>
    <m/>
    <n v="100.00022718824503"/>
    <n v="102.18615491791191"/>
    <n v="100.00000138075445"/>
    <n v="557"/>
    <s v=""/>
    <n v="712"/>
    <n v="719"/>
    <n v="101.46902182453768"/>
    <n v="1.4687946362926425"/>
    <n v="2.1859277296668722"/>
    <n v="2.2580749057965477E-4"/>
  </r>
  <r>
    <x v="3"/>
    <x v="164"/>
    <n v="100.00175790356752"/>
    <m/>
    <n v="100.00175790356752"/>
    <n v="102.22366705929876"/>
    <n v="100.00000560943306"/>
    <n v="557"/>
    <s v=""/>
    <n v="712"/>
    <n v="720"/>
    <n v="101.51605716354931"/>
    <n v="1.5142992599817831"/>
    <n v="2.2219091557312396"/>
    <n v="1.7522941344623177E-3"/>
  </r>
  <r>
    <x v="3"/>
    <x v="165"/>
    <n v="100.3031687927154"/>
    <m/>
    <n v="100.3031687927154"/>
    <n v="102.27642819432702"/>
    <n v="100.00006277792352"/>
    <n v="557"/>
    <s v=""/>
    <n v="712"/>
    <n v="721"/>
    <n v="101.47280596789861"/>
    <n v="1.1696371751832118"/>
    <n v="1.973259401611628"/>
    <n v="0.30310601479187937"/>
  </r>
  <r>
    <x v="3"/>
    <x v="166"/>
    <n v="100.00256163345063"/>
    <m/>
    <n v="100.00256163345063"/>
    <n v="102.3242675376423"/>
    <n v="100.00016570747945"/>
    <n v="557"/>
    <s v=""/>
    <n v="712"/>
    <n v="722"/>
    <n v="101.53467506145155"/>
    <n v="1.5321134280009261"/>
    <n v="2.3217059041916741"/>
    <n v="2.3959259711716641E-3"/>
  </r>
  <r>
    <x v="3"/>
    <x v="167"/>
    <n v="101.63444004790529"/>
    <m/>
    <n v="101.63444004790529"/>
    <n v="103.7719763810578"/>
    <n v="100.00022123449028"/>
    <n v="557"/>
    <s v=""/>
    <n v="712"/>
    <n v="723"/>
    <n v="104.06827070715232"/>
    <n v="2.433830659247036"/>
    <n v="2.1375363331525108"/>
    <n v="1.6342188134150035"/>
  </r>
  <r>
    <x v="3"/>
    <x v="168"/>
    <n v="100.80884102859191"/>
    <m/>
    <n v="100.80884102859191"/>
    <n v="103.94430197245691"/>
    <n v="100.00065648162675"/>
    <n v="557"/>
    <s v=""/>
    <n v="712"/>
    <n v="724"/>
    <n v="103.05816197357071"/>
    <n v="2.2493209449787912"/>
    <n v="3.1354609438649987"/>
    <n v="0.8081845469651654"/>
  </r>
  <r>
    <x v="3"/>
    <x v="169"/>
    <n v="103.02063332348112"/>
    <m/>
    <n v="103.02063332348112"/>
    <n v="105.10799518610477"/>
    <n v="100.07639140095559"/>
    <n v="557"/>
    <s v=""/>
    <n v="712"/>
    <n v="725"/>
    <n v="103.17984834979539"/>
    <n v="0.15921502631427131"/>
    <n v="2.0873618626236521"/>
    <n v="2.944241922525535"/>
  </r>
  <r>
    <x v="3"/>
    <x v="170"/>
    <n v="115.34981661273052"/>
    <m/>
    <n v="115.34981661273052"/>
    <n v="105.69588088562406"/>
    <n v="100.07692887949464"/>
    <n v="557"/>
    <s v=""/>
    <n v="712"/>
    <n v="726"/>
    <n v="104.12127479714289"/>
    <n v="11.228541815587633"/>
    <n v="9.6539357271064574"/>
    <n v="15.272887733235876"/>
  </r>
  <r>
    <x v="3"/>
    <x v="171"/>
    <n v="111.019909350322"/>
    <m/>
    <n v="111.019909350322"/>
    <n v="121.25430522553475"/>
    <n v="100.4854820944097"/>
    <n v="557"/>
    <s v=""/>
    <n v="712"/>
    <n v="727"/>
    <n v="119.24087341856757"/>
    <n v="8.2209640682455785"/>
    <n v="10.234395875212755"/>
    <n v="10.534427255912291"/>
  </r>
  <r>
    <x v="3"/>
    <x v="172"/>
    <n v="127.79000710162326"/>
    <m/>
    <n v="127.79000710162326"/>
    <n v="117.18750996978955"/>
    <n v="100.68725287566581"/>
    <n v="557"/>
    <s v=""/>
    <n v="712"/>
    <n v="728"/>
    <n v="120.91892507513495"/>
    <n v="6.8710820264883097"/>
    <n v="10.602497131833715"/>
    <n v="27.102754225957455"/>
  </r>
  <r>
    <x v="3"/>
    <x v="173"/>
    <n v="117.70222667385559"/>
    <m/>
    <n v="117.70222667385559"/>
    <n v="118.13202624683875"/>
    <n v="101.36661900835725"/>
    <n v="557"/>
    <s v=""/>
    <n v="712"/>
    <n v="729"/>
    <n v="117.59409965922974"/>
    <n v="0.10812701462585039"/>
    <n v="0.42979957298315696"/>
    <n v="16.335607665498344"/>
  </r>
  <r>
    <x v="3"/>
    <x v="174"/>
    <n v="119.36281423322092"/>
    <m/>
    <n v="119.36281423322092"/>
    <n v="121.68692047978173"/>
    <n v="105.20343275317721"/>
    <n v="557"/>
    <s v=""/>
    <n v="712"/>
    <n v="730"/>
    <n v="121.78584856085722"/>
    <n v="2.4230343276363016"/>
    <n v="2.3241062465608167"/>
    <n v="14.159381480043706"/>
  </r>
  <r>
    <x v="3"/>
    <x v="175"/>
    <n v="114.24067898617999"/>
    <m/>
    <n v="114.24067898617999"/>
    <n v="129.72613061113665"/>
    <n v="107.54980007878139"/>
    <n v="557"/>
    <s v=""/>
    <n v="712"/>
    <n v="731"/>
    <n v="131.92754036285885"/>
    <n v="17.686861376678863"/>
    <n v="15.485451624956667"/>
    <n v="6.6908789073985986"/>
  </r>
  <r>
    <x v="3"/>
    <x v="176"/>
    <n v="122.85348220513286"/>
    <m/>
    <n v="122.85348220513286"/>
    <n v="126.22821432808573"/>
    <n v="114.29509159703922"/>
    <n v="557"/>
    <s v=""/>
    <n v="712"/>
    <n v="732"/>
    <n v="125.3505416733061"/>
    <n v="2.4970594681732337"/>
    <n v="3.3747321229528637"/>
    <n v="8.5583906080936458"/>
  </r>
  <r>
    <x v="3"/>
    <x v="177"/>
    <n v="116.18991738751865"/>
    <m/>
    <n v="116.18991738751865"/>
    <n v="121.96653009907016"/>
    <n v="117.96548993463284"/>
    <n v="557"/>
    <s v=""/>
    <n v="712"/>
    <n v="733"/>
    <n v="118.08313645548715"/>
    <n v="1.8932190679685021"/>
    <n v="5.7766127115515076"/>
    <n v="1.7755725471141943"/>
  </r>
  <r>
    <x v="3"/>
    <x v="178"/>
    <n v="117.66649462261358"/>
    <m/>
    <n v="117.66649462261358"/>
    <n v="114.34435544722835"/>
    <n v="118.96873933975544"/>
    <n v="557"/>
    <s v=""/>
    <n v="712"/>
    <n v="734"/>
    <n v="110.60517181792166"/>
    <n v="7.0613228046919261"/>
    <n v="3.3221391753852316"/>
    <n v="1.3022447171418605"/>
  </r>
  <r>
    <x v="3"/>
    <x v="179"/>
    <n v="124.74432581858603"/>
    <m/>
    <n v="124.74432581858603"/>
    <n v="131.16663397761536"/>
    <n v="119.77393174871995"/>
    <n v="557"/>
    <s v=""/>
    <n v="712"/>
    <n v="735"/>
    <n v="129.11125468891552"/>
    <n v="4.3669288703294882"/>
    <n v="6.4223081590293276"/>
    <n v="4.9703940698660887"/>
  </r>
  <r>
    <x v="3"/>
    <x v="180"/>
    <n v="112.50724367752419"/>
    <m/>
    <n v="112.50724367752419"/>
    <n v="111.57594156421014"/>
    <n v="118.53980052459734"/>
    <n v="557"/>
    <s v=""/>
    <n v="712"/>
    <n v="736"/>
    <n v="111.34412188326299"/>
    <n v="1.1631217942612011"/>
    <n v="0.93130211331404666"/>
    <n v="6.0325568470731525"/>
  </r>
  <r>
    <x v="3"/>
    <x v="181"/>
    <n v="130.67592257351745"/>
    <m/>
    <n v="130.67592257351745"/>
    <n v="106.28008727132459"/>
    <n v="118.16172320301311"/>
    <n v="557"/>
    <s v=""/>
    <n v="712"/>
    <n v="737"/>
    <n v="105.35305019771486"/>
    <n v="25.322872375802589"/>
    <n v="24.395835302192864"/>
    <n v="12.514199370504343"/>
  </r>
  <r>
    <x v="4"/>
    <x v="0"/>
    <n v="100.0000005156902"/>
    <n v="100.0000005156902"/>
    <m/>
    <m/>
    <e v="#N/A"/>
    <n v="739"/>
    <n v="1"/>
    <n v="739"/>
    <n v="738"/>
    <e v="#N/A"/>
    <s v=""/>
    <s v=""/>
    <s v=""/>
  </r>
  <r>
    <x v="4"/>
    <x v="1"/>
    <n v="100.00859453686107"/>
    <n v="100.00859453686107"/>
    <m/>
    <m/>
    <e v="#N/A"/>
    <n v="739"/>
    <n v="2"/>
    <n v="740"/>
    <n v="739"/>
    <e v="#N/A"/>
    <s v=""/>
    <s v=""/>
    <s v=""/>
  </r>
  <r>
    <x v="4"/>
    <x v="2"/>
    <n v="100.018209951228"/>
    <n v="100.018209951228"/>
    <m/>
    <m/>
    <e v="#N/A"/>
    <n v="739"/>
    <n v="3"/>
    <n v="741"/>
    <n v="740"/>
    <e v="#N/A"/>
    <s v=""/>
    <s v=""/>
    <s v=""/>
  </r>
  <r>
    <x v="4"/>
    <x v="3"/>
    <n v="100.02902188342941"/>
    <n v="100.02902188342941"/>
    <m/>
    <m/>
    <e v="#N/A"/>
    <n v="739"/>
    <n v="4"/>
    <n v="742"/>
    <n v="741"/>
    <e v="#N/A"/>
    <s v=""/>
    <s v=""/>
    <s v=""/>
  </r>
  <r>
    <x v="4"/>
    <x v="4"/>
    <n v="100.03970853755192"/>
    <n v="100.03970853755192"/>
    <m/>
    <m/>
    <e v="#N/A"/>
    <n v="739"/>
    <n v="5"/>
    <n v="743"/>
    <n v="742"/>
    <e v="#N/A"/>
    <s v=""/>
    <s v=""/>
    <s v=""/>
  </r>
  <r>
    <x v="4"/>
    <x v="5"/>
    <n v="100.05112513412092"/>
    <n v="100.05112513412092"/>
    <m/>
    <m/>
    <e v="#N/A"/>
    <n v="739"/>
    <n v="6"/>
    <n v="744"/>
    <n v="743"/>
    <e v="#N/A"/>
    <s v=""/>
    <s v=""/>
    <s v=""/>
  </r>
  <r>
    <x v="4"/>
    <x v="6"/>
    <n v="100.22126714095053"/>
    <n v="100.22126714095053"/>
    <m/>
    <m/>
    <e v="#N/A"/>
    <n v="739"/>
    <n v="7"/>
    <n v="745"/>
    <n v="744"/>
    <e v="#N/A"/>
    <s v=""/>
    <s v=""/>
    <s v=""/>
  </r>
  <r>
    <x v="4"/>
    <x v="7"/>
    <n v="100.08323114986166"/>
    <n v="100.08323114986166"/>
    <m/>
    <m/>
    <e v="#N/A"/>
    <n v="739"/>
    <n v="8"/>
    <n v="746"/>
    <n v="745"/>
    <e v="#N/A"/>
    <s v=""/>
    <s v=""/>
    <s v=""/>
  </r>
  <r>
    <x v="4"/>
    <x v="8"/>
    <n v="100.08934375085154"/>
    <n v="100.08934375085154"/>
    <m/>
    <m/>
    <e v="#N/A"/>
    <n v="739"/>
    <n v="9"/>
    <n v="747"/>
    <n v="746"/>
    <e v="#N/A"/>
    <s v=""/>
    <s v=""/>
    <s v=""/>
  </r>
  <r>
    <x v="4"/>
    <x v="9"/>
    <n v="100.36385969463512"/>
    <n v="100.36385969463512"/>
    <m/>
    <m/>
    <e v="#N/A"/>
    <n v="739"/>
    <n v="10"/>
    <n v="748"/>
    <n v="747"/>
    <e v="#N/A"/>
    <s v=""/>
    <s v=""/>
    <s v=""/>
  </r>
  <r>
    <x v="4"/>
    <x v="10"/>
    <n v="100.47533556134339"/>
    <n v="100.47533556134339"/>
    <m/>
    <m/>
    <e v="#N/A"/>
    <n v="739"/>
    <n v="11"/>
    <n v="749"/>
    <n v="748"/>
    <e v="#N/A"/>
    <s v=""/>
    <s v=""/>
    <s v=""/>
  </r>
  <r>
    <x v="4"/>
    <x v="11"/>
    <n v="100.58894635615296"/>
    <n v="100.58894635615296"/>
    <m/>
    <m/>
    <e v="#N/A"/>
    <n v="739"/>
    <n v="12"/>
    <n v="750"/>
    <n v="749"/>
    <e v="#N/A"/>
    <s v=""/>
    <s v=""/>
    <s v=""/>
  </r>
  <r>
    <x v="4"/>
    <x v="12"/>
    <n v="100.17987592376932"/>
    <n v="100.17987592376932"/>
    <m/>
    <m/>
    <e v="#N/A"/>
    <n v="739"/>
    <n v="13"/>
    <n v="751"/>
    <n v="750"/>
    <e v="#N/A"/>
    <s v=""/>
    <s v=""/>
    <s v=""/>
  </r>
  <r>
    <x v="4"/>
    <x v="13"/>
    <n v="105.37897897569027"/>
    <n v="105.37897897569027"/>
    <m/>
    <m/>
    <e v="#N/A"/>
    <n v="739"/>
    <n v="14"/>
    <n v="752"/>
    <n v="751"/>
    <e v="#N/A"/>
    <s v=""/>
    <s v=""/>
    <s v=""/>
  </r>
  <r>
    <x v="4"/>
    <x v="14"/>
    <n v="107.73187304587944"/>
    <n v="107.73187304587944"/>
    <m/>
    <m/>
    <e v="#N/A"/>
    <n v="739"/>
    <n v="15"/>
    <n v="753"/>
    <n v="752"/>
    <e v="#N/A"/>
    <s v=""/>
    <s v=""/>
    <s v=""/>
  </r>
  <r>
    <x v="4"/>
    <x v="15"/>
    <n v="109.21716678509527"/>
    <n v="109.21716678509527"/>
    <m/>
    <m/>
    <e v="#N/A"/>
    <n v="739"/>
    <n v="16"/>
    <n v="754"/>
    <n v="753"/>
    <e v="#N/A"/>
    <s v=""/>
    <s v=""/>
    <s v=""/>
  </r>
  <r>
    <x v="4"/>
    <x v="16"/>
    <n v="100.89321410419649"/>
    <n v="100.89321410419649"/>
    <m/>
    <m/>
    <e v="#N/A"/>
    <n v="739"/>
    <n v="17"/>
    <n v="755"/>
    <n v="754"/>
    <e v="#N/A"/>
    <s v=""/>
    <s v=""/>
    <s v=""/>
  </r>
  <r>
    <x v="4"/>
    <x v="17"/>
    <n v="101.39738172103385"/>
    <n v="101.39738172103385"/>
    <m/>
    <m/>
    <e v="#N/A"/>
    <n v="739"/>
    <n v="18"/>
    <n v="756"/>
    <n v="755"/>
    <e v="#N/A"/>
    <s v=""/>
    <s v=""/>
    <s v=""/>
  </r>
  <r>
    <x v="4"/>
    <x v="18"/>
    <n v="109.32647211054032"/>
    <n v="109.32647211054032"/>
    <m/>
    <m/>
    <e v="#N/A"/>
    <n v="739"/>
    <n v="19"/>
    <n v="757"/>
    <n v="756"/>
    <e v="#N/A"/>
    <s v=""/>
    <s v=""/>
    <s v=""/>
  </r>
  <r>
    <x v="4"/>
    <x v="19"/>
    <n v="121.01256348218033"/>
    <n v="121.01256348218033"/>
    <m/>
    <m/>
    <e v="#N/A"/>
    <n v="739"/>
    <n v="20"/>
    <n v="758"/>
    <n v="757"/>
    <e v="#N/A"/>
    <s v=""/>
    <s v=""/>
    <s v=""/>
  </r>
  <r>
    <x v="4"/>
    <x v="20"/>
    <n v="125.02952328729212"/>
    <n v="125.02952328729212"/>
    <m/>
    <m/>
    <e v="#N/A"/>
    <n v="739"/>
    <n v="21"/>
    <n v="759"/>
    <n v="758"/>
    <e v="#N/A"/>
    <s v=""/>
    <s v=""/>
    <s v=""/>
  </r>
  <r>
    <x v="4"/>
    <x v="21"/>
    <n v="124.9519809597162"/>
    <n v="124.9519809597162"/>
    <m/>
    <m/>
    <e v="#N/A"/>
    <n v="739"/>
    <n v="22"/>
    <n v="760"/>
    <n v="759"/>
    <e v="#N/A"/>
    <s v=""/>
    <s v=""/>
    <s v=""/>
  </r>
  <r>
    <x v="4"/>
    <x v="22"/>
    <n v="111.35338743723776"/>
    <n v="111.35338743723776"/>
    <m/>
    <m/>
    <e v="#N/A"/>
    <n v="739"/>
    <n v="23"/>
    <n v="761"/>
    <n v="760"/>
    <e v="#N/A"/>
    <s v=""/>
    <s v=""/>
    <s v=""/>
  </r>
  <r>
    <x v="4"/>
    <x v="23"/>
    <n v="134.02072657283725"/>
    <n v="134.02072657283725"/>
    <m/>
    <m/>
    <e v="#N/A"/>
    <n v="739"/>
    <n v="24"/>
    <n v="762"/>
    <n v="761"/>
    <e v="#N/A"/>
    <s v=""/>
    <s v=""/>
    <s v=""/>
  </r>
  <r>
    <x v="4"/>
    <x v="24"/>
    <n v="103.36692979103442"/>
    <n v="103.36692979103442"/>
    <m/>
    <m/>
    <e v="#N/A"/>
    <n v="739"/>
    <n v="25"/>
    <n v="763"/>
    <n v="762"/>
    <e v="#N/A"/>
    <s v=""/>
    <s v=""/>
    <s v=""/>
  </r>
  <r>
    <x v="4"/>
    <x v="25"/>
    <n v="103.40183474969848"/>
    <n v="103.40183474969848"/>
    <m/>
    <m/>
    <e v="#N/A"/>
    <n v="739"/>
    <n v="26"/>
    <n v="764"/>
    <n v="763"/>
    <e v="#N/A"/>
    <s v=""/>
    <s v=""/>
    <s v=""/>
  </r>
  <r>
    <x v="4"/>
    <x v="26"/>
    <n v="113.81142297623686"/>
    <n v="113.81142297623686"/>
    <m/>
    <m/>
    <e v="#N/A"/>
    <n v="739"/>
    <n v="27"/>
    <n v="765"/>
    <n v="764"/>
    <e v="#N/A"/>
    <s v=""/>
    <s v=""/>
    <s v=""/>
  </r>
  <r>
    <x v="4"/>
    <x v="27"/>
    <n v="100.63438098619871"/>
    <n v="100.63438098619871"/>
    <m/>
    <m/>
    <e v="#N/A"/>
    <n v="739"/>
    <n v="28"/>
    <n v="766"/>
    <n v="765"/>
    <e v="#N/A"/>
    <s v=""/>
    <s v=""/>
    <s v=""/>
  </r>
  <r>
    <x v="4"/>
    <x v="28"/>
    <n v="101.1571988040983"/>
    <n v="101.1571988040983"/>
    <m/>
    <m/>
    <e v="#N/A"/>
    <n v="739"/>
    <n v="29"/>
    <n v="767"/>
    <n v="766"/>
    <e v="#N/A"/>
    <s v=""/>
    <s v=""/>
    <s v=""/>
  </r>
  <r>
    <x v="4"/>
    <x v="29"/>
    <n v="100.63735098348555"/>
    <n v="100.63735098348555"/>
    <m/>
    <m/>
    <e v="#N/A"/>
    <n v="739"/>
    <n v="30"/>
    <n v="768"/>
    <n v="767"/>
    <e v="#N/A"/>
    <s v=""/>
    <s v=""/>
    <s v=""/>
  </r>
  <r>
    <x v="4"/>
    <x v="30"/>
    <n v="101.45129693545601"/>
    <n v="101.45129693545601"/>
    <m/>
    <m/>
    <e v="#N/A"/>
    <n v="739"/>
    <n v="31"/>
    <n v="769"/>
    <n v="768"/>
    <e v="#N/A"/>
    <s v=""/>
    <s v=""/>
    <s v=""/>
  </r>
  <r>
    <x v="4"/>
    <x v="31"/>
    <n v="107.09080332185749"/>
    <n v="107.09080332185749"/>
    <m/>
    <m/>
    <e v="#N/A"/>
    <n v="739"/>
    <n v="32"/>
    <n v="770"/>
    <n v="769"/>
    <e v="#N/A"/>
    <s v=""/>
    <s v=""/>
    <s v=""/>
  </r>
  <r>
    <x v="4"/>
    <x v="32"/>
    <n v="107.74494441056576"/>
    <n v="107.74494441056576"/>
    <m/>
    <m/>
    <e v="#N/A"/>
    <n v="739"/>
    <n v="33"/>
    <n v="771"/>
    <n v="770"/>
    <e v="#N/A"/>
    <s v=""/>
    <s v=""/>
    <s v=""/>
  </r>
  <r>
    <x v="4"/>
    <x v="33"/>
    <n v="100.76019692963158"/>
    <n v="100.76019692963158"/>
    <m/>
    <m/>
    <e v="#N/A"/>
    <n v="739"/>
    <n v="34"/>
    <n v="772"/>
    <n v="771"/>
    <e v="#N/A"/>
    <s v=""/>
    <s v=""/>
    <s v=""/>
  </r>
  <r>
    <x v="4"/>
    <x v="34"/>
    <n v="101.63032630844782"/>
    <n v="101.63032630844782"/>
    <m/>
    <m/>
    <e v="#N/A"/>
    <n v="739"/>
    <n v="35"/>
    <n v="773"/>
    <n v="772"/>
    <e v="#N/A"/>
    <s v=""/>
    <s v=""/>
    <s v=""/>
  </r>
  <r>
    <x v="4"/>
    <x v="35"/>
    <n v="103.41823065685261"/>
    <n v="103.41823065685261"/>
    <m/>
    <m/>
    <e v="#N/A"/>
    <n v="739"/>
    <n v="36"/>
    <n v="774"/>
    <n v="773"/>
    <e v="#N/A"/>
    <s v=""/>
    <s v=""/>
    <s v=""/>
  </r>
  <r>
    <x v="4"/>
    <x v="36"/>
    <n v="117.1545806757301"/>
    <n v="117.1545806757301"/>
    <m/>
    <m/>
    <e v="#N/A"/>
    <n v="739"/>
    <n v="37"/>
    <n v="775"/>
    <n v="774"/>
    <e v="#N/A"/>
    <s v=""/>
    <s v=""/>
    <s v=""/>
  </r>
  <r>
    <x v="4"/>
    <x v="37"/>
    <n v="111.73486698375388"/>
    <n v="111.73486698375388"/>
    <m/>
    <m/>
    <e v="#N/A"/>
    <n v="739"/>
    <n v="38"/>
    <n v="776"/>
    <n v="775"/>
    <e v="#N/A"/>
    <s v=""/>
    <s v=""/>
    <s v=""/>
  </r>
  <r>
    <x v="4"/>
    <x v="38"/>
    <n v="110.39095888220834"/>
    <n v="110.39095888220834"/>
    <m/>
    <m/>
    <e v="#N/A"/>
    <n v="739"/>
    <n v="39"/>
    <n v="777"/>
    <n v="776"/>
    <e v="#N/A"/>
    <s v=""/>
    <s v=""/>
    <s v=""/>
  </r>
  <r>
    <x v="4"/>
    <x v="39"/>
    <n v="117.34743215652722"/>
    <n v="117.34743215652722"/>
    <m/>
    <m/>
    <e v="#N/A"/>
    <n v="739"/>
    <n v="40"/>
    <n v="778"/>
    <n v="777"/>
    <e v="#N/A"/>
    <s v=""/>
    <s v=""/>
    <s v=""/>
  </r>
  <r>
    <x v="4"/>
    <x v="40"/>
    <n v="115.19341044914881"/>
    <n v="115.19341044914881"/>
    <m/>
    <m/>
    <e v="#N/A"/>
    <n v="739"/>
    <n v="41"/>
    <n v="779"/>
    <n v="778"/>
    <e v="#N/A"/>
    <s v=""/>
    <s v=""/>
    <s v=""/>
  </r>
  <r>
    <x v="4"/>
    <x v="41"/>
    <n v="106.93223244355976"/>
    <n v="106.93223244355976"/>
    <m/>
    <m/>
    <e v="#N/A"/>
    <n v="739"/>
    <n v="42"/>
    <n v="780"/>
    <n v="779"/>
    <e v="#N/A"/>
    <s v=""/>
    <s v=""/>
    <s v=""/>
  </r>
  <r>
    <x v="4"/>
    <x v="42"/>
    <n v="116.91708184180824"/>
    <n v="116.91708184180824"/>
    <m/>
    <m/>
    <e v="#N/A"/>
    <n v="739"/>
    <n v="43"/>
    <n v="781"/>
    <n v="780"/>
    <e v="#N/A"/>
    <s v=""/>
    <s v=""/>
    <s v=""/>
  </r>
  <r>
    <x v="4"/>
    <x v="43"/>
    <n v="104.64246636070351"/>
    <n v="104.64246636070351"/>
    <m/>
    <m/>
    <e v="#N/A"/>
    <n v="739"/>
    <n v="44"/>
    <n v="782"/>
    <n v="781"/>
    <e v="#N/A"/>
    <s v=""/>
    <s v=""/>
    <s v=""/>
  </r>
  <r>
    <x v="4"/>
    <x v="44"/>
    <n v="107.24757969626602"/>
    <n v="107.24757969626602"/>
    <m/>
    <m/>
    <e v="#N/A"/>
    <n v="739"/>
    <n v="45"/>
    <n v="783"/>
    <n v="782"/>
    <e v="#N/A"/>
    <s v=""/>
    <s v=""/>
    <s v=""/>
  </r>
  <r>
    <x v="4"/>
    <x v="45"/>
    <n v="101.97505947297471"/>
    <n v="101.97505947297471"/>
    <m/>
    <m/>
    <e v="#N/A"/>
    <n v="739"/>
    <n v="46"/>
    <n v="784"/>
    <n v="783"/>
    <e v="#N/A"/>
    <s v=""/>
    <s v=""/>
    <s v=""/>
  </r>
  <r>
    <x v="4"/>
    <x v="46"/>
    <n v="101.74520501437091"/>
    <n v="101.74520501437091"/>
    <m/>
    <m/>
    <e v="#N/A"/>
    <n v="739"/>
    <n v="47"/>
    <n v="785"/>
    <n v="784"/>
    <e v="#N/A"/>
    <s v=""/>
    <s v=""/>
    <s v=""/>
  </r>
  <r>
    <x v="4"/>
    <x v="47"/>
    <n v="106.25129035262778"/>
    <n v="106.25129035262778"/>
    <m/>
    <m/>
    <e v="#N/A"/>
    <n v="739"/>
    <n v="48"/>
    <n v="786"/>
    <n v="785"/>
    <e v="#N/A"/>
    <s v=""/>
    <s v=""/>
    <s v=""/>
  </r>
  <r>
    <x v="4"/>
    <x v="48"/>
    <n v="101.11639507293491"/>
    <n v="101.11639507293491"/>
    <m/>
    <m/>
    <e v="#N/A"/>
    <n v="739"/>
    <n v="49"/>
    <n v="787"/>
    <n v="786"/>
    <e v="#N/A"/>
    <s v=""/>
    <s v=""/>
    <s v=""/>
  </r>
  <r>
    <x v="4"/>
    <x v="49"/>
    <n v="104.73167319785766"/>
    <n v="104.73167319785766"/>
    <m/>
    <m/>
    <e v="#N/A"/>
    <n v="739"/>
    <n v="50"/>
    <n v="788"/>
    <n v="787"/>
    <e v="#N/A"/>
    <s v=""/>
    <s v=""/>
    <s v=""/>
  </r>
  <r>
    <x v="4"/>
    <x v="50"/>
    <n v="101.40929883334559"/>
    <n v="101.40929883334559"/>
    <m/>
    <m/>
    <e v="#N/A"/>
    <n v="739"/>
    <n v="51"/>
    <n v="789"/>
    <n v="788"/>
    <e v="#N/A"/>
    <s v=""/>
    <s v=""/>
    <s v=""/>
  </r>
  <r>
    <x v="4"/>
    <x v="51"/>
    <n v="101.35146185972347"/>
    <n v="101.35146185972347"/>
    <m/>
    <m/>
    <e v="#N/A"/>
    <n v="739"/>
    <n v="52"/>
    <n v="790"/>
    <n v="789"/>
    <e v="#N/A"/>
    <s v=""/>
    <s v=""/>
    <s v=""/>
  </r>
  <r>
    <x v="4"/>
    <x v="52"/>
    <n v="101.17576633293571"/>
    <n v="101.17576633293571"/>
    <m/>
    <m/>
    <e v="#N/A"/>
    <n v="739"/>
    <n v="53"/>
    <n v="791"/>
    <n v="790"/>
    <e v="#N/A"/>
    <s v=""/>
    <s v=""/>
    <s v=""/>
  </r>
  <r>
    <x v="4"/>
    <x v="53"/>
    <n v="101.21450287730524"/>
    <n v="101.21450287730524"/>
    <m/>
    <m/>
    <e v="#N/A"/>
    <n v="739"/>
    <n v="54"/>
    <n v="792"/>
    <n v="791"/>
    <e v="#N/A"/>
    <s v=""/>
    <s v=""/>
    <s v=""/>
  </r>
  <r>
    <x v="4"/>
    <x v="54"/>
    <n v="101.25404536020784"/>
    <n v="101.25404536020784"/>
    <m/>
    <m/>
    <e v="#N/A"/>
    <n v="739"/>
    <n v="55"/>
    <n v="793"/>
    <n v="792"/>
    <e v="#N/A"/>
    <s v=""/>
    <s v=""/>
    <s v=""/>
  </r>
  <r>
    <x v="4"/>
    <x v="55"/>
    <n v="101.29441395596538"/>
    <n v="101.29441395596538"/>
    <m/>
    <m/>
    <e v="#N/A"/>
    <n v="739"/>
    <n v="56"/>
    <n v="794"/>
    <n v="793"/>
    <e v="#N/A"/>
    <s v=""/>
    <s v=""/>
    <s v=""/>
  </r>
  <r>
    <x v="4"/>
    <x v="56"/>
    <n v="101.33562612814355"/>
    <n v="101.33562612814355"/>
    <m/>
    <m/>
    <e v="#N/A"/>
    <n v="739"/>
    <n v="57"/>
    <n v="795"/>
    <n v="794"/>
    <e v="#N/A"/>
    <s v=""/>
    <s v=""/>
    <s v=""/>
  </r>
  <r>
    <x v="4"/>
    <x v="57"/>
    <n v="101.37769813328137"/>
    <n v="101.37769813328137"/>
    <m/>
    <m/>
    <e v="#N/A"/>
    <n v="739"/>
    <n v="58"/>
    <n v="796"/>
    <n v="795"/>
    <e v="#N/A"/>
    <s v=""/>
    <s v=""/>
    <s v=""/>
  </r>
  <r>
    <x v="4"/>
    <x v="58"/>
    <n v="101.42065199418941"/>
    <n v="101.42065199418941"/>
    <m/>
    <m/>
    <e v="#N/A"/>
    <n v="739"/>
    <n v="59"/>
    <n v="797"/>
    <n v="796"/>
    <e v="#N/A"/>
    <s v=""/>
    <s v=""/>
    <s v=""/>
  </r>
  <r>
    <x v="4"/>
    <x v="59"/>
    <n v="101.46456772257676"/>
    <n v="101.46456772257676"/>
    <m/>
    <m/>
    <e v="#N/A"/>
    <n v="739"/>
    <n v="60"/>
    <n v="798"/>
    <n v="797"/>
    <e v="#N/A"/>
    <s v=""/>
    <s v=""/>
    <s v=""/>
  </r>
  <r>
    <x v="4"/>
    <x v="60"/>
    <n v="101.57213673361188"/>
    <n v="101.57213673361188"/>
    <m/>
    <m/>
    <e v="#N/A"/>
    <n v="739"/>
    <n v="61"/>
    <n v="799"/>
    <n v="798"/>
    <e v="#N/A"/>
    <s v=""/>
    <s v=""/>
    <s v=""/>
  </r>
  <r>
    <x v="4"/>
    <x v="61"/>
    <n v="101.55879481279756"/>
    <n v="101.55879481279756"/>
    <m/>
    <m/>
    <e v="#N/A"/>
    <n v="739"/>
    <n v="62"/>
    <n v="800"/>
    <n v="799"/>
    <e v="#N/A"/>
    <s v=""/>
    <s v=""/>
    <s v=""/>
  </r>
  <r>
    <x v="4"/>
    <x v="62"/>
    <n v="101.65946685810322"/>
    <n v="101.65946685810322"/>
    <m/>
    <m/>
    <e v="#N/A"/>
    <n v="739"/>
    <n v="63"/>
    <n v="801"/>
    <n v="800"/>
    <e v="#N/A"/>
    <s v=""/>
    <s v=""/>
    <s v=""/>
  </r>
  <r>
    <x v="4"/>
    <x v="63"/>
    <n v="105.81885251126258"/>
    <n v="105.81885251126258"/>
    <m/>
    <m/>
    <e v="#N/A"/>
    <n v="739"/>
    <n v="64"/>
    <n v="802"/>
    <n v="801"/>
    <e v="#N/A"/>
    <s v=""/>
    <s v=""/>
    <s v=""/>
  </r>
  <r>
    <x v="4"/>
    <x v="64"/>
    <n v="101.73687116145858"/>
    <n v="101.73687116145858"/>
    <m/>
    <m/>
    <e v="#N/A"/>
    <n v="739"/>
    <n v="65"/>
    <n v="803"/>
    <n v="802"/>
    <e v="#N/A"/>
    <s v=""/>
    <s v=""/>
    <s v=""/>
  </r>
  <r>
    <x v="4"/>
    <x v="65"/>
    <n v="102.2486151164989"/>
    <n v="102.2486151164989"/>
    <m/>
    <m/>
    <e v="#N/A"/>
    <n v="739"/>
    <n v="66"/>
    <n v="804"/>
    <n v="803"/>
    <e v="#N/A"/>
    <s v=""/>
    <s v=""/>
    <s v=""/>
  </r>
  <r>
    <x v="4"/>
    <x v="66"/>
    <n v="104.74130934811126"/>
    <n v="104.74130934811126"/>
    <m/>
    <m/>
    <e v="#N/A"/>
    <n v="739"/>
    <n v="67"/>
    <n v="805"/>
    <n v="804"/>
    <e v="#N/A"/>
    <s v=""/>
    <s v=""/>
    <s v=""/>
  </r>
  <r>
    <x v="4"/>
    <x v="67"/>
    <n v="114.33705471461651"/>
    <n v="114.33705471461651"/>
    <m/>
    <m/>
    <e v="#N/A"/>
    <n v="739"/>
    <n v="68"/>
    <n v="806"/>
    <n v="805"/>
    <e v="#N/A"/>
    <s v=""/>
    <s v=""/>
    <s v=""/>
  </r>
  <r>
    <x v="4"/>
    <x v="68"/>
    <n v="128.89334529657444"/>
    <n v="128.89334529657444"/>
    <m/>
    <m/>
    <e v="#N/A"/>
    <n v="739"/>
    <n v="69"/>
    <n v="807"/>
    <n v="806"/>
    <e v="#N/A"/>
    <s v=""/>
    <s v=""/>
    <s v=""/>
  </r>
  <r>
    <x v="4"/>
    <x v="69"/>
    <n v="114.33000728919878"/>
    <n v="114.33000728919878"/>
    <m/>
    <m/>
    <e v="#N/A"/>
    <n v="739"/>
    <n v="70"/>
    <n v="808"/>
    <n v="807"/>
    <e v="#N/A"/>
    <s v=""/>
    <s v=""/>
    <s v=""/>
  </r>
  <r>
    <x v="4"/>
    <x v="70"/>
    <n v="123.95097580515976"/>
    <n v="123.95097580515976"/>
    <m/>
    <m/>
    <e v="#N/A"/>
    <n v="739"/>
    <n v="71"/>
    <n v="809"/>
    <n v="808"/>
    <e v="#N/A"/>
    <s v=""/>
    <s v=""/>
    <s v=""/>
  </r>
  <r>
    <x v="4"/>
    <x v="71"/>
    <n v="138.37933011886241"/>
    <n v="138.37933011886241"/>
    <m/>
    <m/>
    <e v="#N/A"/>
    <n v="739"/>
    <n v="72"/>
    <n v="810"/>
    <n v="809"/>
    <e v="#N/A"/>
    <s v=""/>
    <s v=""/>
    <s v=""/>
  </r>
  <r>
    <x v="4"/>
    <x v="72"/>
    <n v="125.06438072558231"/>
    <n v="125.06438072558231"/>
    <m/>
    <m/>
    <e v="#N/A"/>
    <n v="739"/>
    <n v="73"/>
    <n v="811"/>
    <n v="810"/>
    <e v="#N/A"/>
    <s v=""/>
    <s v=""/>
    <s v=""/>
  </r>
  <r>
    <x v="4"/>
    <x v="73"/>
    <n v="113.62318284495568"/>
    <n v="113.62318284495568"/>
    <m/>
    <m/>
    <e v="#N/A"/>
    <n v="739"/>
    <n v="74"/>
    <n v="812"/>
    <n v="811"/>
    <e v="#N/A"/>
    <s v=""/>
    <s v=""/>
    <s v=""/>
  </r>
  <r>
    <x v="4"/>
    <x v="74"/>
    <n v="106.90450353992239"/>
    <n v="106.90450353992239"/>
    <m/>
    <m/>
    <e v="#N/A"/>
    <n v="739"/>
    <n v="75"/>
    <n v="813"/>
    <n v="812"/>
    <e v="#N/A"/>
    <s v=""/>
    <s v=""/>
    <s v=""/>
  </r>
  <r>
    <x v="4"/>
    <x v="75"/>
    <n v="132.70280184667905"/>
    <n v="132.70280184667905"/>
    <m/>
    <m/>
    <e v="#N/A"/>
    <n v="739"/>
    <n v="76"/>
    <n v="814"/>
    <n v="813"/>
    <e v="#N/A"/>
    <s v=""/>
    <s v=""/>
    <s v=""/>
  </r>
  <r>
    <x v="4"/>
    <x v="76"/>
    <n v="112.6301465479868"/>
    <n v="112.6301465479868"/>
    <m/>
    <m/>
    <e v="#N/A"/>
    <n v="739"/>
    <n v="77"/>
    <n v="815"/>
    <n v="814"/>
    <e v="#N/A"/>
    <s v=""/>
    <s v=""/>
    <s v=""/>
  </r>
  <r>
    <x v="4"/>
    <x v="77"/>
    <n v="108.19840626662169"/>
    <n v="108.19840626662169"/>
    <m/>
    <m/>
    <e v="#N/A"/>
    <n v="739"/>
    <n v="78"/>
    <n v="816"/>
    <n v="815"/>
    <e v="#N/A"/>
    <s v=""/>
    <s v=""/>
    <s v=""/>
  </r>
  <r>
    <x v="4"/>
    <x v="78"/>
    <n v="103.57266883684156"/>
    <n v="103.57266883684156"/>
    <m/>
    <m/>
    <e v="#N/A"/>
    <n v="739"/>
    <n v="79"/>
    <n v="817"/>
    <n v="816"/>
    <e v="#N/A"/>
    <s v=""/>
    <s v=""/>
    <s v=""/>
  </r>
  <r>
    <x v="4"/>
    <x v="79"/>
    <n v="102.7255427652817"/>
    <n v="102.7255427652817"/>
    <m/>
    <m/>
    <e v="#N/A"/>
    <n v="739"/>
    <n v="80"/>
    <n v="818"/>
    <n v="817"/>
    <e v="#N/A"/>
    <s v=""/>
    <s v=""/>
    <s v=""/>
  </r>
  <r>
    <x v="4"/>
    <x v="80"/>
    <n v="109.66572280609077"/>
    <n v="109.66572280609077"/>
    <m/>
    <m/>
    <e v="#N/A"/>
    <n v="739"/>
    <n v="81"/>
    <n v="819"/>
    <n v="818"/>
    <e v="#N/A"/>
    <s v=""/>
    <s v=""/>
    <s v=""/>
  </r>
  <r>
    <x v="4"/>
    <x v="81"/>
    <n v="103.55611399032104"/>
    <n v="103.55611399032104"/>
    <m/>
    <m/>
    <e v="#N/A"/>
    <n v="739"/>
    <n v="82"/>
    <n v="820"/>
    <n v="819"/>
    <e v="#N/A"/>
    <s v=""/>
    <s v=""/>
    <s v=""/>
  </r>
  <r>
    <x v="4"/>
    <x v="82"/>
    <n v="104.72787372001767"/>
    <n v="104.72787372001767"/>
    <m/>
    <m/>
    <e v="#N/A"/>
    <n v="739"/>
    <n v="83"/>
    <n v="821"/>
    <n v="820"/>
    <e v="#N/A"/>
    <s v=""/>
    <s v=""/>
    <s v=""/>
  </r>
  <r>
    <x v="4"/>
    <x v="83"/>
    <n v="106.19981740816819"/>
    <n v="106.19981740816819"/>
    <m/>
    <m/>
    <e v="#N/A"/>
    <n v="739"/>
    <n v="84"/>
    <n v="822"/>
    <n v="821"/>
    <e v="#N/A"/>
    <s v=""/>
    <s v=""/>
    <s v=""/>
  </r>
  <r>
    <x v="4"/>
    <x v="84"/>
    <n v="103.44477821376427"/>
    <n v="103.44477821376427"/>
    <m/>
    <m/>
    <e v="#N/A"/>
    <n v="739"/>
    <n v="85"/>
    <n v="823"/>
    <n v="822"/>
    <e v="#N/A"/>
    <s v=""/>
    <s v=""/>
    <s v=""/>
  </r>
  <r>
    <x v="4"/>
    <x v="85"/>
    <n v="104.85184689395975"/>
    <n v="104.85184689395975"/>
    <m/>
    <m/>
    <e v="#N/A"/>
    <n v="739"/>
    <n v="86"/>
    <n v="824"/>
    <n v="823"/>
    <e v="#N/A"/>
    <s v=""/>
    <s v=""/>
    <s v=""/>
  </r>
  <r>
    <x v="4"/>
    <x v="86"/>
    <n v="103.36486586334604"/>
    <n v="103.36486586334604"/>
    <m/>
    <m/>
    <e v="#N/A"/>
    <n v="739"/>
    <n v="87"/>
    <n v="825"/>
    <n v="824"/>
    <e v="#N/A"/>
    <s v=""/>
    <s v=""/>
    <s v=""/>
  </r>
  <r>
    <x v="4"/>
    <x v="87"/>
    <n v="108.00657803868661"/>
    <n v="108.00657803868661"/>
    <m/>
    <m/>
    <e v="#N/A"/>
    <n v="739"/>
    <n v="88"/>
    <n v="826"/>
    <n v="825"/>
    <e v="#N/A"/>
    <s v=""/>
    <s v=""/>
    <s v=""/>
  </r>
  <r>
    <x v="4"/>
    <x v="88"/>
    <n v="110.58706844350129"/>
    <n v="110.58706844350129"/>
    <m/>
    <m/>
    <e v="#N/A"/>
    <n v="739"/>
    <n v="89"/>
    <n v="827"/>
    <n v="826"/>
    <e v="#N/A"/>
    <s v=""/>
    <s v=""/>
    <s v=""/>
  </r>
  <r>
    <x v="4"/>
    <x v="89"/>
    <n v="113.20697101537742"/>
    <n v="113.20697101537742"/>
    <m/>
    <m/>
    <e v="#N/A"/>
    <n v="739"/>
    <n v="90"/>
    <n v="828"/>
    <n v="827"/>
    <e v="#N/A"/>
    <s v=""/>
    <s v=""/>
    <s v=""/>
  </r>
  <r>
    <x v="4"/>
    <x v="90"/>
    <n v="108.87490884222179"/>
    <n v="108.87490884222179"/>
    <m/>
    <m/>
    <e v="#N/A"/>
    <n v="739"/>
    <n v="91"/>
    <n v="829"/>
    <n v="828"/>
    <e v="#N/A"/>
    <s v=""/>
    <s v=""/>
    <s v=""/>
  </r>
  <r>
    <x v="4"/>
    <x v="91"/>
    <n v="108.5368887483418"/>
    <n v="108.5368887483418"/>
    <m/>
    <m/>
    <e v="#N/A"/>
    <n v="739"/>
    <n v="92"/>
    <n v="830"/>
    <n v="829"/>
    <e v="#N/A"/>
    <s v=""/>
    <s v=""/>
    <s v=""/>
  </r>
  <r>
    <x v="4"/>
    <x v="92"/>
    <n v="112.39387465894654"/>
    <n v="112.39387465894654"/>
    <m/>
    <m/>
    <e v="#N/A"/>
    <n v="739"/>
    <n v="93"/>
    <n v="831"/>
    <n v="830"/>
    <e v="#N/A"/>
    <s v=""/>
    <s v=""/>
    <s v=""/>
  </r>
  <r>
    <x v="4"/>
    <x v="93"/>
    <n v="116.75004885343505"/>
    <n v="116.75004885343505"/>
    <m/>
    <m/>
    <e v="#N/A"/>
    <n v="739"/>
    <n v="94"/>
    <n v="832"/>
    <n v="831"/>
    <e v="#N/A"/>
    <s v=""/>
    <s v=""/>
    <s v=""/>
  </r>
  <r>
    <x v="4"/>
    <x v="94"/>
    <n v="122.21155232032254"/>
    <n v="122.21155232032254"/>
    <m/>
    <m/>
    <e v="#N/A"/>
    <n v="739"/>
    <n v="95"/>
    <n v="833"/>
    <n v="832"/>
    <e v="#N/A"/>
    <s v=""/>
    <s v=""/>
    <s v=""/>
  </r>
  <r>
    <x v="4"/>
    <x v="95"/>
    <n v="105.80285499111632"/>
    <n v="105.80285499111632"/>
    <m/>
    <m/>
    <e v="#N/A"/>
    <n v="739"/>
    <n v="96"/>
    <n v="834"/>
    <n v="833"/>
    <e v="#N/A"/>
    <s v=""/>
    <s v=""/>
    <s v=""/>
  </r>
  <r>
    <x v="4"/>
    <x v="96"/>
    <n v="106.86509504096016"/>
    <n v="106.86509504096016"/>
    <m/>
    <m/>
    <e v="#N/A"/>
    <n v="739"/>
    <n v="97"/>
    <n v="835"/>
    <n v="834"/>
    <e v="#N/A"/>
    <s v=""/>
    <s v=""/>
    <s v=""/>
  </r>
  <r>
    <x v="4"/>
    <x v="97"/>
    <n v="108.7118519910144"/>
    <n v="108.7118519910144"/>
    <m/>
    <m/>
    <e v="#N/A"/>
    <n v="739"/>
    <n v="98"/>
    <n v="836"/>
    <n v="835"/>
    <e v="#N/A"/>
    <s v=""/>
    <s v=""/>
    <s v=""/>
  </r>
  <r>
    <x v="4"/>
    <x v="98"/>
    <n v="104.85745189341812"/>
    <n v="104.85745189341812"/>
    <m/>
    <m/>
    <e v="#N/A"/>
    <n v="739"/>
    <n v="99"/>
    <n v="837"/>
    <n v="836"/>
    <e v="#N/A"/>
    <s v=""/>
    <s v=""/>
    <s v=""/>
  </r>
  <r>
    <x v="4"/>
    <x v="99"/>
    <n v="104.58553042090904"/>
    <n v="104.58553042090904"/>
    <m/>
    <m/>
    <e v="#N/A"/>
    <n v="739"/>
    <n v="100"/>
    <n v="838"/>
    <n v="837"/>
    <e v="#N/A"/>
    <s v=""/>
    <s v=""/>
    <s v=""/>
  </r>
  <r>
    <x v="4"/>
    <x v="100"/>
    <n v="104.43451301585783"/>
    <n v="104.43451301585783"/>
    <m/>
    <m/>
    <e v="#N/A"/>
    <n v="739"/>
    <n v="101"/>
    <n v="839"/>
    <n v="838"/>
    <e v="#N/A"/>
    <s v=""/>
    <s v=""/>
    <s v=""/>
  </r>
  <r>
    <x v="4"/>
    <x v="101"/>
    <n v="104.80351894702663"/>
    <n v="104.80351894702663"/>
    <m/>
    <m/>
    <e v="#N/A"/>
    <n v="739"/>
    <n v="102"/>
    <n v="840"/>
    <n v="839"/>
    <e v="#N/A"/>
    <s v=""/>
    <s v=""/>
    <s v=""/>
  </r>
  <r>
    <x v="4"/>
    <x v="102"/>
    <n v="104.83721495765494"/>
    <n v="104.83721495765494"/>
    <m/>
    <m/>
    <e v="#N/A"/>
    <n v="739"/>
    <n v="103"/>
    <n v="841"/>
    <n v="840"/>
    <e v="#N/A"/>
    <s v=""/>
    <s v=""/>
    <s v=""/>
  </r>
  <r>
    <x v="4"/>
    <x v="103"/>
    <n v="104.77559129858157"/>
    <n v="104.77559129858157"/>
    <m/>
    <m/>
    <e v="#N/A"/>
    <n v="739"/>
    <n v="104"/>
    <n v="842"/>
    <n v="841"/>
    <e v="#N/A"/>
    <s v=""/>
    <s v=""/>
    <s v=""/>
  </r>
  <r>
    <x v="4"/>
    <x v="104"/>
    <n v="104.79971747821681"/>
    <n v="104.79971747821681"/>
    <m/>
    <m/>
    <e v="#N/A"/>
    <n v="739"/>
    <n v="105"/>
    <n v="843"/>
    <n v="842"/>
    <e v="#N/A"/>
    <s v=""/>
    <s v=""/>
    <s v=""/>
  </r>
  <r>
    <x v="4"/>
    <x v="105"/>
    <n v="104.91730214308089"/>
    <n v="104.91730214308089"/>
    <m/>
    <m/>
    <e v="#N/A"/>
    <n v="739"/>
    <n v="106"/>
    <n v="844"/>
    <n v="843"/>
    <e v="#N/A"/>
    <s v=""/>
    <s v=""/>
    <s v=""/>
  </r>
  <r>
    <x v="4"/>
    <x v="106"/>
    <n v="105.03754863956813"/>
    <n v="105.03754863956813"/>
    <m/>
    <m/>
    <e v="#N/A"/>
    <n v="739"/>
    <n v="107"/>
    <n v="845"/>
    <n v="844"/>
    <e v="#N/A"/>
    <s v=""/>
    <s v=""/>
    <s v=""/>
  </r>
  <r>
    <x v="4"/>
    <x v="107"/>
    <n v="105.16269931709992"/>
    <n v="105.16269931709992"/>
    <m/>
    <m/>
    <e v="#N/A"/>
    <n v="739"/>
    <n v="108"/>
    <n v="846"/>
    <n v="845"/>
    <e v="#N/A"/>
    <s v=""/>
    <s v=""/>
    <s v=""/>
  </r>
  <r>
    <x v="4"/>
    <x v="108"/>
    <n v="105.28629348883949"/>
    <n v="105.28629348883949"/>
    <m/>
    <m/>
    <e v="#N/A"/>
    <n v="739"/>
    <n v="109"/>
    <n v="847"/>
    <n v="846"/>
    <e v="#N/A"/>
    <s v=""/>
    <s v=""/>
    <s v=""/>
  </r>
  <r>
    <x v="4"/>
    <x v="109"/>
    <n v="105.43085811814075"/>
    <n v="105.43085811814075"/>
    <m/>
    <m/>
    <e v="#N/A"/>
    <n v="739"/>
    <n v="110"/>
    <n v="848"/>
    <n v="847"/>
    <e v="#N/A"/>
    <s v=""/>
    <s v=""/>
    <s v=""/>
  </r>
  <r>
    <x v="4"/>
    <x v="110"/>
    <n v="105.54852154657979"/>
    <n v="105.54852154657979"/>
    <m/>
    <m/>
    <e v="#N/A"/>
    <n v="739"/>
    <n v="111"/>
    <n v="849"/>
    <n v="848"/>
    <e v="#N/A"/>
    <s v=""/>
    <s v=""/>
    <s v=""/>
  </r>
  <r>
    <x v="4"/>
    <x v="111"/>
    <n v="105.68108905912739"/>
    <n v="105.68108905912739"/>
    <m/>
    <m/>
    <e v="#N/A"/>
    <n v="739"/>
    <n v="112"/>
    <n v="850"/>
    <n v="849"/>
    <e v="#N/A"/>
    <s v=""/>
    <s v=""/>
    <s v=""/>
  </r>
  <r>
    <x v="4"/>
    <x v="112"/>
    <n v="105.87372445272496"/>
    <n v="105.87372445272496"/>
    <m/>
    <m/>
    <e v="#N/A"/>
    <n v="739"/>
    <n v="113"/>
    <n v="851"/>
    <n v="850"/>
    <e v="#N/A"/>
    <s v=""/>
    <s v=""/>
    <s v=""/>
  </r>
  <r>
    <x v="4"/>
    <x v="113"/>
    <n v="105.97102684137366"/>
    <n v="105.97102684137366"/>
    <m/>
    <m/>
    <e v="#N/A"/>
    <n v="739"/>
    <n v="114"/>
    <n v="852"/>
    <n v="851"/>
    <e v="#N/A"/>
    <s v=""/>
    <s v=""/>
    <s v=""/>
  </r>
  <r>
    <x v="4"/>
    <x v="114"/>
    <n v="106.10850489236498"/>
    <n v="106.10850489236498"/>
    <m/>
    <m/>
    <e v="#N/A"/>
    <n v="739"/>
    <n v="115"/>
    <n v="853"/>
    <n v="852"/>
    <e v="#N/A"/>
    <s v=""/>
    <s v=""/>
    <s v=""/>
  </r>
  <r>
    <x v="4"/>
    <x v="115"/>
    <n v="106.38940469942781"/>
    <n v="106.38940469942781"/>
    <m/>
    <m/>
    <e v="#N/A"/>
    <n v="739"/>
    <n v="116"/>
    <n v="854"/>
    <n v="853"/>
    <e v="#N/A"/>
    <s v=""/>
    <s v=""/>
    <s v=""/>
  </r>
  <r>
    <x v="4"/>
    <x v="116"/>
    <n v="111.61492782786733"/>
    <n v="111.61492782786733"/>
    <m/>
    <m/>
    <e v="#N/A"/>
    <n v="739"/>
    <n v="117"/>
    <n v="855"/>
    <n v="854"/>
    <e v="#N/A"/>
    <s v=""/>
    <s v=""/>
    <s v=""/>
  </r>
  <r>
    <x v="4"/>
    <x v="117"/>
    <n v="109.62312909110474"/>
    <n v="109.62312909110474"/>
    <m/>
    <m/>
    <e v="#N/A"/>
    <n v="739"/>
    <n v="118"/>
    <n v="856"/>
    <n v="855"/>
    <e v="#N/A"/>
    <s v=""/>
    <s v=""/>
    <s v=""/>
  </r>
  <r>
    <x v="4"/>
    <x v="118"/>
    <n v="106.77369801956004"/>
    <n v="106.77369801956004"/>
    <m/>
    <m/>
    <e v="#N/A"/>
    <n v="739"/>
    <n v="119"/>
    <n v="857"/>
    <n v="856"/>
    <e v="#N/A"/>
    <s v=""/>
    <s v=""/>
    <s v=""/>
  </r>
  <r>
    <x v="4"/>
    <x v="119"/>
    <n v="142.59128921601433"/>
    <n v="142.59128921601433"/>
    <m/>
    <m/>
    <e v="#N/A"/>
    <n v="739"/>
    <n v="120"/>
    <n v="858"/>
    <n v="857"/>
    <e v="#N/A"/>
    <s v=""/>
    <s v=""/>
    <s v=""/>
  </r>
  <r>
    <x v="4"/>
    <x v="120"/>
    <n v="124.39570516561409"/>
    <n v="124.39570516561409"/>
    <m/>
    <m/>
    <e v="#N/A"/>
    <n v="739"/>
    <n v="121"/>
    <n v="859"/>
    <n v="858"/>
    <e v="#N/A"/>
    <s v=""/>
    <s v=""/>
    <s v=""/>
  </r>
  <r>
    <x v="4"/>
    <x v="121"/>
    <n v="141.53160163833059"/>
    <n v="141.53160163833059"/>
    <m/>
    <m/>
    <e v="#N/A"/>
    <n v="739"/>
    <n v="122"/>
    <n v="860"/>
    <n v="859"/>
    <e v="#N/A"/>
    <s v=""/>
    <s v=""/>
    <s v=""/>
  </r>
  <r>
    <x v="4"/>
    <x v="122"/>
    <n v="134.89647661306554"/>
    <n v="134.89647661306554"/>
    <m/>
    <m/>
    <e v="#N/A"/>
    <n v="739"/>
    <n v="123"/>
    <n v="861"/>
    <n v="860"/>
    <e v="#N/A"/>
    <s v=""/>
    <s v=""/>
    <s v=""/>
  </r>
  <r>
    <x v="4"/>
    <x v="123"/>
    <n v="133.15258442111431"/>
    <n v="133.15258442111431"/>
    <m/>
    <m/>
    <e v="#N/A"/>
    <n v="739"/>
    <n v="124"/>
    <n v="862"/>
    <n v="861"/>
    <e v="#N/A"/>
    <s v=""/>
    <s v=""/>
    <s v=""/>
  </r>
  <r>
    <x v="4"/>
    <x v="124"/>
    <n v="132.2186239574126"/>
    <n v="132.2186239574126"/>
    <m/>
    <m/>
    <e v="#N/A"/>
    <n v="739"/>
    <n v="125"/>
    <n v="863"/>
    <n v="862"/>
    <e v="#N/A"/>
    <s v=""/>
    <s v=""/>
    <s v=""/>
  </r>
  <r>
    <x v="4"/>
    <x v="125"/>
    <n v="131.21746335798605"/>
    <n v="131.21746335798605"/>
    <m/>
    <m/>
    <e v="#N/A"/>
    <n v="739"/>
    <n v="126"/>
    <n v="864"/>
    <n v="863"/>
    <e v="#N/A"/>
    <s v=""/>
    <s v=""/>
    <s v=""/>
  </r>
  <r>
    <x v="4"/>
    <x v="126"/>
    <n v="128.93111153698155"/>
    <n v="128.93111153698155"/>
    <m/>
    <m/>
    <e v="#N/A"/>
    <n v="739"/>
    <n v="127"/>
    <n v="865"/>
    <n v="864"/>
    <e v="#N/A"/>
    <s v=""/>
    <s v=""/>
    <s v=""/>
  </r>
  <r>
    <x v="4"/>
    <x v="127"/>
    <n v="131.21457912995118"/>
    <n v="131.21457912995118"/>
    <m/>
    <m/>
    <e v="#N/A"/>
    <n v="739"/>
    <n v="128"/>
    <n v="866"/>
    <n v="865"/>
    <e v="#N/A"/>
    <s v=""/>
    <s v=""/>
    <s v=""/>
  </r>
  <r>
    <x v="4"/>
    <x v="128"/>
    <n v="123.44181717521526"/>
    <n v="123.44181717521526"/>
    <m/>
    <m/>
    <e v="#N/A"/>
    <n v="739"/>
    <n v="129"/>
    <n v="867"/>
    <n v="866"/>
    <e v="#N/A"/>
    <s v=""/>
    <s v=""/>
    <s v=""/>
  </r>
  <r>
    <x v="4"/>
    <x v="129"/>
    <n v="112.24675434151007"/>
    <n v="112.24675434151007"/>
    <m/>
    <m/>
    <e v="#N/A"/>
    <n v="739"/>
    <n v="130"/>
    <n v="868"/>
    <n v="867"/>
    <e v="#N/A"/>
    <s v=""/>
    <s v=""/>
    <s v=""/>
  </r>
  <r>
    <x v="4"/>
    <x v="130"/>
    <n v="109.76674521039196"/>
    <n v="109.76674521039196"/>
    <m/>
    <m/>
    <e v="#N/A"/>
    <n v="739"/>
    <n v="131"/>
    <n v="869"/>
    <n v="868"/>
    <e v="#N/A"/>
    <s v=""/>
    <s v=""/>
    <s v=""/>
  </r>
  <r>
    <x v="4"/>
    <x v="131"/>
    <n v="109.45531802981181"/>
    <n v="109.45531802981181"/>
    <m/>
    <m/>
    <e v="#N/A"/>
    <n v="739"/>
    <n v="132"/>
    <n v="870"/>
    <n v="869"/>
    <e v="#N/A"/>
    <s v=""/>
    <s v=""/>
    <s v=""/>
  </r>
  <r>
    <x v="4"/>
    <x v="132"/>
    <n v="109.57242051108028"/>
    <n v="109.57242051108028"/>
    <m/>
    <m/>
    <e v="#N/A"/>
    <n v="739"/>
    <n v="133"/>
    <n v="871"/>
    <n v="870"/>
    <e v="#N/A"/>
    <s v=""/>
    <s v=""/>
    <s v=""/>
  </r>
  <r>
    <x v="4"/>
    <x v="133"/>
    <n v="110.64951699211356"/>
    <n v="110.64951699211356"/>
    <m/>
    <m/>
    <e v="#N/A"/>
    <n v="739"/>
    <n v="134"/>
    <n v="872"/>
    <n v="871"/>
    <e v="#N/A"/>
    <s v=""/>
    <s v=""/>
    <s v=""/>
  </r>
  <r>
    <x v="4"/>
    <x v="134"/>
    <n v="111.61077290003097"/>
    <n v="111.61077290003097"/>
    <m/>
    <m/>
    <e v="#N/A"/>
    <n v="739"/>
    <n v="135"/>
    <n v="873"/>
    <n v="872"/>
    <e v="#N/A"/>
    <s v=""/>
    <s v=""/>
    <s v=""/>
  </r>
  <r>
    <x v="4"/>
    <x v="135"/>
    <n v="113.65887722330406"/>
    <n v="113.65887722330406"/>
    <m/>
    <m/>
    <e v="#N/A"/>
    <n v="739"/>
    <n v="136"/>
    <n v="874"/>
    <n v="873"/>
    <e v="#N/A"/>
    <s v=""/>
    <s v=""/>
    <s v=""/>
  </r>
  <r>
    <x v="4"/>
    <x v="136"/>
    <n v="112.27917856751824"/>
    <n v="112.27917856751824"/>
    <m/>
    <m/>
    <e v="#N/A"/>
    <n v="739"/>
    <n v="137"/>
    <n v="875"/>
    <n v="874"/>
    <e v="#N/A"/>
    <s v=""/>
    <s v=""/>
    <s v=""/>
  </r>
  <r>
    <x v="4"/>
    <x v="137"/>
    <n v="111.72576008441185"/>
    <n v="111.72576008441185"/>
    <m/>
    <m/>
    <e v="#N/A"/>
    <n v="739"/>
    <n v="138"/>
    <n v="876"/>
    <n v="875"/>
    <e v="#N/A"/>
    <s v=""/>
    <s v=""/>
    <s v=""/>
  </r>
  <r>
    <x v="4"/>
    <x v="138"/>
    <n v="118.16071599260864"/>
    <n v="118.16071599260864"/>
    <m/>
    <m/>
    <e v="#N/A"/>
    <n v="739"/>
    <n v="139"/>
    <n v="877"/>
    <n v="876"/>
    <e v="#N/A"/>
    <s v=""/>
    <s v=""/>
    <s v=""/>
  </r>
  <r>
    <x v="4"/>
    <x v="139"/>
    <n v="125.80195638377765"/>
    <n v="125.80195638377765"/>
    <m/>
    <m/>
    <e v="#N/A"/>
    <n v="739"/>
    <n v="140"/>
    <n v="878"/>
    <n v="877"/>
    <e v="#N/A"/>
    <s v=""/>
    <s v=""/>
    <s v=""/>
  </r>
  <r>
    <x v="4"/>
    <x v="140"/>
    <n v="123.28077870665581"/>
    <n v="123.28077870665581"/>
    <m/>
    <m/>
    <e v="#N/A"/>
    <n v="739"/>
    <n v="141"/>
    <n v="879"/>
    <n v="878"/>
    <e v="#N/A"/>
    <s v=""/>
    <s v=""/>
    <s v=""/>
  </r>
  <r>
    <x v="4"/>
    <x v="141"/>
    <n v="129.37265613942515"/>
    <n v="129.37265613942515"/>
    <m/>
    <m/>
    <e v="#N/A"/>
    <n v="739"/>
    <n v="142"/>
    <n v="880"/>
    <n v="879"/>
    <e v="#N/A"/>
    <s v=""/>
    <s v=""/>
    <s v=""/>
  </r>
  <r>
    <x v="4"/>
    <x v="142"/>
    <n v="121.80348182892133"/>
    <n v="121.80348182892133"/>
    <m/>
    <m/>
    <e v="#N/A"/>
    <n v="739"/>
    <n v="143"/>
    <n v="881"/>
    <n v="880"/>
    <e v="#N/A"/>
    <s v=""/>
    <s v=""/>
    <s v=""/>
  </r>
  <r>
    <x v="4"/>
    <x v="143"/>
    <n v="122.50946944804976"/>
    <n v="122.50946944804976"/>
    <m/>
    <m/>
    <e v="#N/A"/>
    <n v="739"/>
    <n v="144"/>
    <n v="882"/>
    <n v="881"/>
    <e v="#N/A"/>
    <s v=""/>
    <s v=""/>
    <s v=""/>
  </r>
  <r>
    <x v="4"/>
    <x v="144"/>
    <n v="115.50962141371055"/>
    <n v="115.50962141371055"/>
    <m/>
    <m/>
    <e v="#N/A"/>
    <n v="739"/>
    <n v="145"/>
    <n v="883"/>
    <n v="882"/>
    <e v="#N/A"/>
    <s v=""/>
    <s v=""/>
    <s v=""/>
  </r>
  <r>
    <x v="4"/>
    <x v="145"/>
    <n v="124.51695788041695"/>
    <n v="124.51695788041695"/>
    <m/>
    <m/>
    <e v="#N/A"/>
    <n v="739"/>
    <n v="146"/>
    <n v="884"/>
    <n v="883"/>
    <e v="#N/A"/>
    <s v=""/>
    <s v=""/>
    <s v=""/>
  </r>
  <r>
    <x v="4"/>
    <x v="146"/>
    <n v="124.28753199191935"/>
    <n v="124.28753199191935"/>
    <m/>
    <m/>
    <e v="#N/A"/>
    <n v="739"/>
    <n v="147"/>
    <n v="885"/>
    <n v="884"/>
    <e v="#N/A"/>
    <s v=""/>
    <s v=""/>
    <s v=""/>
  </r>
  <r>
    <x v="4"/>
    <x v="147"/>
    <n v="125.79332183191732"/>
    <n v="125.79332183191732"/>
    <m/>
    <m/>
    <e v="#N/A"/>
    <n v="739"/>
    <n v="148"/>
    <n v="886"/>
    <n v="885"/>
    <e v="#N/A"/>
    <s v=""/>
    <s v=""/>
    <s v=""/>
  </r>
  <r>
    <x v="4"/>
    <x v="148"/>
    <n v="117.72847923856845"/>
    <n v="117.72847923856845"/>
    <m/>
    <m/>
    <e v="#N/A"/>
    <n v="739"/>
    <n v="149"/>
    <n v="887"/>
    <n v="886"/>
    <e v="#N/A"/>
    <s v=""/>
    <s v=""/>
    <s v=""/>
  </r>
  <r>
    <x v="4"/>
    <x v="149"/>
    <n v="132.26153560205523"/>
    <n v="132.26153560205523"/>
    <m/>
    <m/>
    <e v="#N/A"/>
    <n v="739"/>
    <n v="150"/>
    <n v="888"/>
    <n v="887"/>
    <e v="#N/A"/>
    <s v=""/>
    <s v=""/>
    <s v=""/>
  </r>
  <r>
    <x v="4"/>
    <x v="150"/>
    <n v="117.40097816436639"/>
    <n v="117.40097816436639"/>
    <m/>
    <m/>
    <e v="#N/A"/>
    <n v="739"/>
    <n v="151"/>
    <n v="889"/>
    <n v="888"/>
    <e v="#N/A"/>
    <s v=""/>
    <s v=""/>
    <s v=""/>
  </r>
  <r>
    <x v="4"/>
    <x v="151"/>
    <n v="116.73310473777565"/>
    <n v="116.73310473777565"/>
    <m/>
    <m/>
    <e v="#N/A"/>
    <n v="739"/>
    <n v="152"/>
    <n v="890"/>
    <n v="889"/>
    <e v="#N/A"/>
    <s v=""/>
    <s v=""/>
    <s v=""/>
  </r>
  <r>
    <x v="4"/>
    <x v="152"/>
    <n v="116.99460998003534"/>
    <n v="116.99460998003534"/>
    <m/>
    <m/>
    <e v="#N/A"/>
    <n v="739"/>
    <n v="153"/>
    <n v="891"/>
    <n v="890"/>
    <e v="#N/A"/>
    <s v=""/>
    <s v=""/>
    <s v=""/>
  </r>
  <r>
    <x v="4"/>
    <x v="153"/>
    <n v="116.21155206730414"/>
    <n v="116.21155206730414"/>
    <m/>
    <m/>
    <e v="#N/A"/>
    <n v="739"/>
    <n v="154"/>
    <n v="892"/>
    <n v="891"/>
    <e v="#N/A"/>
    <s v=""/>
    <s v=""/>
    <s v=""/>
  </r>
  <r>
    <x v="4"/>
    <x v="154"/>
    <n v="116.51705837582284"/>
    <n v="116.51705837582284"/>
    <m/>
    <m/>
    <e v="#N/A"/>
    <n v="739"/>
    <n v="155"/>
    <n v="893"/>
    <n v="892"/>
    <e v="#N/A"/>
    <s v=""/>
    <s v=""/>
    <s v=""/>
  </r>
  <r>
    <x v="4"/>
    <x v="155"/>
    <n v="116.72656571158225"/>
    <n v="116.72656571158225"/>
    <m/>
    <m/>
    <e v="#N/A"/>
    <n v="739"/>
    <n v="156"/>
    <n v="894"/>
    <n v="893"/>
    <e v="#N/A"/>
    <s v=""/>
    <s v=""/>
    <s v=""/>
  </r>
  <r>
    <x v="4"/>
    <x v="156"/>
    <n v="116.46917410746666"/>
    <m/>
    <n v="116.46917410746666"/>
    <n v="116.52203570208862"/>
    <n v="120.84755712105814"/>
    <n v="739"/>
    <s v=""/>
    <n v="894"/>
    <n v="894"/>
    <n v="117.10902563066412"/>
    <n v="0.63985152319746419"/>
    <n v="5.286159462195883E-2"/>
    <n v="4.3783830135914883"/>
  </r>
  <r>
    <x v="4"/>
    <x v="157"/>
    <n v="116.863128220614"/>
    <m/>
    <n v="116.863128220614"/>
    <n v="116.57741386868459"/>
    <n v="116.83506123737037"/>
    <n v="739"/>
    <s v=""/>
    <n v="894"/>
    <n v="895"/>
    <n v="117.34311146150286"/>
    <n v="0.47998324088885624"/>
    <n v="0.28571435192941408"/>
    <n v="2.8066983243633103E-2"/>
  </r>
  <r>
    <x v="4"/>
    <x v="158"/>
    <n v="117.26663925573639"/>
    <m/>
    <n v="117.26663925573639"/>
    <n v="116.63402937597562"/>
    <n v="116.61408129023449"/>
    <n v="739"/>
    <s v=""/>
    <n v="894"/>
    <n v="896"/>
    <n v="117.469712111234"/>
    <n v="0.20307285549760934"/>
    <n v="0.63260987976077843"/>
    <n v="0.65255796550189871"/>
  </r>
  <r>
    <x v="4"/>
    <x v="159"/>
    <n v="117.67995386577647"/>
    <m/>
    <n v="117.67995386577647"/>
    <n v="116.69281400390024"/>
    <n v="116.61244653368615"/>
    <n v="739"/>
    <s v=""/>
    <n v="894"/>
    <n v="897"/>
    <n v="117.55286176924622"/>
    <n v="0.127092096530248"/>
    <n v="0.98713986187622993"/>
    <n v="1.0675073320903152"/>
  </r>
  <r>
    <x v="4"/>
    <x v="160"/>
    <n v="118.10331962747267"/>
    <m/>
    <n v="118.10331962747267"/>
    <n v="116.75110013037678"/>
    <n v="116.48108756554396"/>
    <n v="739"/>
    <s v=""/>
    <n v="894"/>
    <n v="898"/>
    <n v="117.61781006008128"/>
    <n v="0.4855095673913894"/>
    <n v="1.3522194970958878"/>
    <n v="1.6222320619287132"/>
  </r>
  <r>
    <x v="4"/>
    <x v="161"/>
    <n v="118.53718273390565"/>
    <m/>
    <n v="118.53718273390565"/>
    <n v="116.816938524447"/>
    <n v="116.64398160387144"/>
    <n v="739"/>
    <s v=""/>
    <n v="894"/>
    <n v="899"/>
    <n v="117.69713731087987"/>
    <n v="0.840045423025785"/>
    <n v="1.7202442094586559"/>
    <n v="1.893201130034214"/>
  </r>
  <r>
    <x v="4"/>
    <x v="162"/>
    <n v="118.98157220686822"/>
    <m/>
    <n v="118.98157220686822"/>
    <n v="116.9270567674688"/>
    <n v="116.83137682384982"/>
    <n v="739"/>
    <s v=""/>
    <n v="894"/>
    <n v="900"/>
    <n v="117.80595474327497"/>
    <n v="1.1756174635932553"/>
    <n v="2.0545154393994238"/>
    <n v="2.1501953830183993"/>
  </r>
  <r>
    <x v="4"/>
    <x v="163"/>
    <n v="119.43641605432227"/>
    <m/>
    <n v="119.43641605432227"/>
    <n v="116.93977705639669"/>
    <n v="117.06972386239838"/>
    <n v="739"/>
    <s v=""/>
    <n v="894"/>
    <n v="901"/>
    <n v="117.85920641149502"/>
    <n v="1.577209642827242"/>
    <n v="2.4966389979255723"/>
    <n v="2.3666921919238888"/>
  </r>
  <r>
    <x v="4"/>
    <x v="164"/>
    <n v="119.9040689326541"/>
    <m/>
    <n v="119.9040689326541"/>
    <n v="117.04190362172079"/>
    <n v="117.47826024239988"/>
    <n v="739"/>
    <s v=""/>
    <n v="894"/>
    <n v="902"/>
    <n v="117.9505622223294"/>
    <n v="1.953506710324703"/>
    <n v="2.8621653109333067"/>
    <n v="2.4258086902542146"/>
  </r>
  <r>
    <x v="4"/>
    <x v="165"/>
    <n v="120.68297494330551"/>
    <m/>
    <n v="120.68297494330551"/>
    <n v="117.16154978484508"/>
    <n v="117.8967738707228"/>
    <n v="739"/>
    <s v=""/>
    <n v="894"/>
    <n v="903"/>
    <n v="117.94245718730048"/>
    <n v="2.7405177560050333"/>
    <n v="3.5214251584604312"/>
    <n v="2.7862010725827133"/>
  </r>
  <r>
    <x v="4"/>
    <x v="166"/>
    <n v="120.871522111524"/>
    <m/>
    <n v="120.871522111524"/>
    <n v="117.27836473740606"/>
    <n v="118.32550710850576"/>
    <n v="739"/>
    <s v=""/>
    <n v="894"/>
    <n v="904"/>
    <n v="118.01225562804028"/>
    <n v="2.8592664834837223"/>
    <n v="3.5931573741179363"/>
    <n v="2.5460150030182405"/>
  </r>
  <r>
    <x v="4"/>
    <x v="167"/>
    <n v="123.00450755942482"/>
    <m/>
    <n v="123.00450755942482"/>
    <n v="118.79678989209118"/>
    <n v="118.7646226556422"/>
    <n v="739"/>
    <s v=""/>
    <n v="894"/>
    <n v="905"/>
    <n v="120.58794192988701"/>
    <n v="2.4165656295378142"/>
    <n v="4.2077176673336396"/>
    <n v="4.2398849037826238"/>
  </r>
  <r>
    <x v="4"/>
    <x v="168"/>
    <n v="122.69226921553449"/>
    <m/>
    <n v="122.69226921553449"/>
    <n v="119.04210691472582"/>
    <n v="119.21480998193755"/>
    <n v="739"/>
    <s v=""/>
    <n v="894"/>
    <n v="906"/>
    <n v="120.18145853297143"/>
    <n v="2.5108106825630614"/>
    <n v="3.6501623008086739"/>
    <n v="3.4774592335969459"/>
  </r>
  <r>
    <x v="4"/>
    <x v="169"/>
    <n v="125.42998438804857"/>
    <m/>
    <n v="125.42998438804857"/>
    <n v="120.28162481581347"/>
    <n v="119.75125803428752"/>
    <n v="739"/>
    <s v=""/>
    <n v="894"/>
    <n v="907"/>
    <n v="119.26652030711752"/>
    <n v="6.1634640809310497"/>
    <n v="5.1483595722350941"/>
    <n v="5.6787263537610499"/>
  </r>
  <r>
    <x v="4"/>
    <x v="170"/>
    <n v="138.29796913450576"/>
    <m/>
    <n v="138.29796913450576"/>
    <n v="120.94635910650754"/>
    <n v="120.22374551045147"/>
    <n v="739"/>
    <s v=""/>
    <n v="894"/>
    <n v="908"/>
    <n v="120.31276320138065"/>
    <n v="17.985205933125116"/>
    <n v="17.35161002799822"/>
    <n v="18.074223624054298"/>
  </r>
  <r>
    <x v="4"/>
    <x v="171"/>
    <n v="134.52006630125607"/>
    <m/>
    <n v="134.52006630125607"/>
    <n v="136.57978923120584"/>
    <n v="121.11576838672711"/>
    <n v="739"/>
    <s v=""/>
    <n v="894"/>
    <n v="909"/>
    <n v="136.03647143487552"/>
    <n v="1.5164051336194575"/>
    <n v="2.0597229299497712"/>
    <n v="13.404297914528954"/>
  </r>
  <r>
    <x v="4"/>
    <x v="172"/>
    <n v="151.85570406386188"/>
    <m/>
    <n v="151.85570406386188"/>
    <n v="132.59147965027944"/>
    <n v="121.81281845744721"/>
    <n v="739"/>
    <s v=""/>
    <n v="894"/>
    <n v="910"/>
    <n v="134.71907366523271"/>
    <n v="17.136630398629165"/>
    <n v="19.26422441358244"/>
    <n v="30.042885606414671"/>
  </r>
  <r>
    <x v="4"/>
    <x v="173"/>
    <n v="142.34734026554167"/>
    <m/>
    <n v="142.34734026554167"/>
    <n v="133.61679287531084"/>
    <n v="122.99957081863298"/>
    <n v="739"/>
    <s v=""/>
    <n v="894"/>
    <n v="911"/>
    <n v="136.2684413056719"/>
    <n v="6.0788989598697754"/>
    <n v="8.7305473902308393"/>
    <n v="19.3477694469087"/>
  </r>
  <r>
    <x v="4"/>
    <x v="174"/>
    <n v="144.60157074753866"/>
    <m/>
    <n v="144.60157074753866"/>
    <n v="137.25503084334326"/>
    <n v="127.35618257437841"/>
    <n v="739"/>
    <s v=""/>
    <n v="894"/>
    <n v="912"/>
    <n v="137.79229019772754"/>
    <n v="6.8092805498111204"/>
    <n v="7.3465399041953958"/>
    <n v="17.245388173160251"/>
  </r>
  <r>
    <x v="4"/>
    <x v="175"/>
    <n v="140.08766324903991"/>
    <m/>
    <n v="140.08766324903991"/>
    <n v="145.37903398930467"/>
    <n v="130.23507225983622"/>
    <n v="739"/>
    <s v=""/>
    <n v="894"/>
    <n v="913"/>
    <n v="149.66108640620257"/>
    <n v="9.5734231571626651"/>
    <n v="5.2913707402647674"/>
    <n v="9.8525909892036907"/>
  </r>
  <r>
    <x v="4"/>
    <x v="176"/>
    <n v="149.32364665703349"/>
    <m/>
    <n v="149.32364665703349"/>
    <n v="141.96835192908134"/>
    <n v="137.52593097191806"/>
    <n v="739"/>
    <s v=""/>
    <n v="894"/>
    <n v="914"/>
    <n v="145.35607307262902"/>
    <n v="3.9675735844044766"/>
    <n v="7.3552947279521561"/>
    <n v="11.797715685115435"/>
  </r>
  <r>
    <x v="4"/>
    <x v="177"/>
    <n v="143.29859139526107"/>
    <m/>
    <n v="143.29859139526107"/>
    <n v="137.79488942713161"/>
    <n v="141.75526994129135"/>
    <n v="739"/>
    <s v=""/>
    <n v="894"/>
    <n v="915"/>
    <n v="136.14342582606179"/>
    <n v="7.1551655691992835"/>
    <n v="5.5037019681294623"/>
    <n v="1.5433214539697246"/>
  </r>
  <r>
    <x v="4"/>
    <x v="178"/>
    <n v="145.42939402668824"/>
    <m/>
    <n v="145.42939402668824"/>
    <n v="130.26079601820936"/>
    <n v="143.33117034454958"/>
    <n v="739"/>
    <s v=""/>
    <n v="894"/>
    <n v="916"/>
    <n v="125.97580081960554"/>
    <n v="19.453593207082704"/>
    <n v="15.168598008478881"/>
    <n v="2.0982236821386664"/>
  </r>
  <r>
    <x v="4"/>
    <x v="179"/>
    <n v="153.17756272219899"/>
    <m/>
    <n v="153.17756272219899"/>
    <n v="147.17573706372559"/>
    <n v="144.72306958149554"/>
    <n v="739"/>
    <s v=""/>
    <n v="894"/>
    <n v="917"/>
    <n v="143.20162149078016"/>
    <n v="9.9759412314188296"/>
    <n v="6.0018256584733933"/>
    <n v="8.4544931407034483"/>
  </r>
  <r>
    <x v="4"/>
    <x v="180"/>
    <n v="141.6273364833805"/>
    <m/>
    <n v="141.6273364833805"/>
    <n v="127.67652662439953"/>
    <n v="144.09005522978842"/>
    <n v="739"/>
    <s v=""/>
    <n v="894"/>
    <n v="918"/>
    <n v="128.62981816258434"/>
    <n v="12.997518320796161"/>
    <n v="13.950809858980975"/>
    <n v="2.4627187464079157"/>
  </r>
  <r>
    <x v="4"/>
    <x v="181"/>
    <n v="160.49980627463518"/>
    <m/>
    <n v="160.49980627463518"/>
    <n v="122.47787223941265"/>
    <n v="144.32786801221826"/>
    <n v="739"/>
    <s v=""/>
    <n v="894"/>
    <n v="919"/>
    <n v="122.49244708903795"/>
    <n v="38.007359185597224"/>
    <n v="38.021934035222529"/>
    <n v="16.171938262416916"/>
  </r>
  <r>
    <x v="5"/>
    <x v="0"/>
    <n v="116.36408474545787"/>
    <n v="116.36408474545787"/>
    <m/>
    <m/>
    <e v="#N/A"/>
    <n v="921"/>
    <n v="1"/>
    <n v="921"/>
    <n v="920"/>
    <e v="#N/A"/>
    <s v=""/>
    <s v=""/>
    <s v=""/>
  </r>
  <r>
    <x v="5"/>
    <x v="1"/>
    <n v="125.52874595258821"/>
    <n v="125.52874595258821"/>
    <m/>
    <m/>
    <e v="#N/A"/>
    <n v="921"/>
    <n v="2"/>
    <n v="922"/>
    <n v="921"/>
    <e v="#N/A"/>
    <s v=""/>
    <s v=""/>
    <s v=""/>
  </r>
  <r>
    <x v="5"/>
    <x v="2"/>
    <n v="86.163966859537595"/>
    <n v="86.163966859537595"/>
    <m/>
    <m/>
    <e v="#N/A"/>
    <n v="921"/>
    <n v="3"/>
    <n v="923"/>
    <n v="922"/>
    <e v="#N/A"/>
    <s v=""/>
    <s v=""/>
    <s v=""/>
  </r>
  <r>
    <x v="5"/>
    <x v="3"/>
    <n v="314.32377496500806"/>
    <n v="314.32377496500806"/>
    <m/>
    <m/>
    <e v="#N/A"/>
    <n v="921"/>
    <n v="4"/>
    <n v="924"/>
    <n v="923"/>
    <e v="#N/A"/>
    <s v=""/>
    <s v=""/>
    <s v=""/>
  </r>
  <r>
    <x v="5"/>
    <x v="4"/>
    <n v="76.27035319297002"/>
    <n v="76.27035319297002"/>
    <m/>
    <m/>
    <e v="#N/A"/>
    <n v="921"/>
    <n v="5"/>
    <n v="925"/>
    <n v="924"/>
    <e v="#N/A"/>
    <s v=""/>
    <s v=""/>
    <s v=""/>
  </r>
  <r>
    <x v="5"/>
    <x v="5"/>
    <n v="97.751852069531822"/>
    <n v="97.751852069531822"/>
    <m/>
    <m/>
    <e v="#N/A"/>
    <n v="921"/>
    <n v="6"/>
    <n v="926"/>
    <n v="925"/>
    <e v="#N/A"/>
    <s v=""/>
    <s v=""/>
    <s v=""/>
  </r>
  <r>
    <x v="5"/>
    <x v="6"/>
    <n v="0"/>
    <n v="0"/>
    <m/>
    <m/>
    <e v="#N/A"/>
    <n v="921"/>
    <n v="7"/>
    <n v="927"/>
    <n v="926"/>
    <e v="#N/A"/>
    <s v=""/>
    <s v=""/>
    <s v=""/>
  </r>
  <r>
    <x v="5"/>
    <x v="7"/>
    <n v="166.45923060554497"/>
    <n v="166.45923060554497"/>
    <m/>
    <m/>
    <e v="#N/A"/>
    <n v="921"/>
    <n v="8"/>
    <n v="928"/>
    <n v="927"/>
    <e v="#N/A"/>
    <s v=""/>
    <s v=""/>
    <s v=""/>
  </r>
  <r>
    <x v="5"/>
    <x v="8"/>
    <n v="66.954166769755915"/>
    <n v="66.954166769755915"/>
    <m/>
    <m/>
    <e v="#N/A"/>
    <n v="921"/>
    <n v="9"/>
    <n v="929"/>
    <n v="928"/>
    <e v="#N/A"/>
    <s v=""/>
    <s v=""/>
    <s v=""/>
  </r>
  <r>
    <x v="5"/>
    <x v="9"/>
    <n v="96.716213333936651"/>
    <n v="96.716213333936651"/>
    <m/>
    <m/>
    <e v="#N/A"/>
    <n v="921"/>
    <n v="10"/>
    <n v="930"/>
    <n v="929"/>
    <e v="#N/A"/>
    <s v=""/>
    <s v=""/>
    <s v=""/>
  </r>
  <r>
    <x v="5"/>
    <x v="10"/>
    <n v="68.792902508433514"/>
    <n v="68.792902508433514"/>
    <m/>
    <m/>
    <e v="#N/A"/>
    <n v="921"/>
    <n v="11"/>
    <n v="931"/>
    <n v="930"/>
    <e v="#N/A"/>
    <s v=""/>
    <s v=""/>
    <s v=""/>
  </r>
  <r>
    <x v="5"/>
    <x v="11"/>
    <n v="92.267969639662226"/>
    <n v="92.267969639662226"/>
    <m/>
    <m/>
    <e v="#N/A"/>
    <n v="921"/>
    <n v="12"/>
    <n v="932"/>
    <n v="931"/>
    <e v="#N/A"/>
    <s v=""/>
    <s v=""/>
    <s v=""/>
  </r>
  <r>
    <x v="5"/>
    <x v="12"/>
    <n v="83.125050018531525"/>
    <n v="83.125050018531525"/>
    <m/>
    <m/>
    <e v="#N/A"/>
    <n v="921"/>
    <n v="13"/>
    <n v="933"/>
    <n v="932"/>
    <e v="#N/A"/>
    <s v=""/>
    <s v=""/>
    <s v=""/>
  </r>
  <r>
    <x v="5"/>
    <x v="13"/>
    <n v="102.79647242885137"/>
    <n v="102.79647242885137"/>
    <m/>
    <m/>
    <e v="#N/A"/>
    <n v="921"/>
    <n v="14"/>
    <n v="934"/>
    <n v="933"/>
    <e v="#N/A"/>
    <s v=""/>
    <s v=""/>
    <s v=""/>
  </r>
  <r>
    <x v="5"/>
    <x v="14"/>
    <n v="104.56378408664864"/>
    <n v="104.56378408664864"/>
    <m/>
    <m/>
    <e v="#N/A"/>
    <n v="921"/>
    <n v="15"/>
    <n v="935"/>
    <n v="934"/>
    <e v="#N/A"/>
    <s v=""/>
    <s v=""/>
    <s v=""/>
  </r>
  <r>
    <x v="5"/>
    <x v="15"/>
    <n v="99.964848095942315"/>
    <n v="99.964848095942315"/>
    <m/>
    <m/>
    <e v="#N/A"/>
    <n v="921"/>
    <n v="16"/>
    <n v="936"/>
    <n v="935"/>
    <e v="#N/A"/>
    <s v=""/>
    <s v=""/>
    <s v=""/>
  </r>
  <r>
    <x v="5"/>
    <x v="16"/>
    <n v="90.82058051141972"/>
    <n v="90.82058051141972"/>
    <m/>
    <m/>
    <e v="#N/A"/>
    <n v="921"/>
    <n v="17"/>
    <n v="937"/>
    <n v="936"/>
    <e v="#N/A"/>
    <s v=""/>
    <s v=""/>
    <s v=""/>
  </r>
  <r>
    <x v="5"/>
    <x v="17"/>
    <n v="179.90848886059487"/>
    <n v="179.90848886059487"/>
    <m/>
    <m/>
    <e v="#N/A"/>
    <n v="921"/>
    <n v="18"/>
    <n v="938"/>
    <n v="937"/>
    <e v="#N/A"/>
    <s v=""/>
    <s v=""/>
    <s v=""/>
  </r>
  <r>
    <x v="5"/>
    <x v="18"/>
    <n v="162.21148729609581"/>
    <n v="162.21148729609581"/>
    <m/>
    <m/>
    <e v="#N/A"/>
    <n v="921"/>
    <n v="19"/>
    <n v="939"/>
    <n v="938"/>
    <e v="#N/A"/>
    <s v=""/>
    <s v=""/>
    <s v=""/>
  </r>
  <r>
    <x v="5"/>
    <x v="19"/>
    <n v="174.25910258897571"/>
    <n v="174.25910258897571"/>
    <m/>
    <m/>
    <e v="#N/A"/>
    <n v="921"/>
    <n v="20"/>
    <n v="940"/>
    <n v="939"/>
    <e v="#N/A"/>
    <s v=""/>
    <s v=""/>
    <s v=""/>
  </r>
  <r>
    <x v="5"/>
    <x v="20"/>
    <n v="81.082590420585575"/>
    <n v="81.082590420585575"/>
    <m/>
    <m/>
    <e v="#N/A"/>
    <n v="921"/>
    <n v="21"/>
    <n v="941"/>
    <n v="940"/>
    <e v="#N/A"/>
    <s v=""/>
    <s v=""/>
    <s v=""/>
  </r>
  <r>
    <x v="5"/>
    <x v="21"/>
    <n v="200.36123087061804"/>
    <n v="200.36123087061804"/>
    <m/>
    <m/>
    <e v="#N/A"/>
    <n v="921"/>
    <n v="22"/>
    <n v="942"/>
    <n v="941"/>
    <e v="#N/A"/>
    <s v=""/>
    <s v=""/>
    <s v=""/>
  </r>
  <r>
    <x v="5"/>
    <x v="22"/>
    <n v="179.25205798899103"/>
    <n v="179.25205798899103"/>
    <m/>
    <m/>
    <e v="#N/A"/>
    <n v="921"/>
    <n v="23"/>
    <n v="943"/>
    <n v="942"/>
    <e v="#N/A"/>
    <s v=""/>
    <s v=""/>
    <s v=""/>
  </r>
  <r>
    <x v="5"/>
    <x v="23"/>
    <n v="100.81646684474335"/>
    <n v="100.81646684474335"/>
    <m/>
    <m/>
    <e v="#N/A"/>
    <n v="921"/>
    <n v="24"/>
    <n v="944"/>
    <n v="943"/>
    <e v="#N/A"/>
    <s v=""/>
    <s v=""/>
    <s v=""/>
  </r>
  <r>
    <x v="5"/>
    <x v="24"/>
    <n v="194.79805082302261"/>
    <n v="194.79805082302261"/>
    <m/>
    <m/>
    <e v="#N/A"/>
    <n v="921"/>
    <n v="25"/>
    <n v="945"/>
    <n v="944"/>
    <e v="#N/A"/>
    <s v=""/>
    <s v=""/>
    <s v=""/>
  </r>
  <r>
    <x v="5"/>
    <x v="25"/>
    <n v="62.40827816971111"/>
    <n v="62.40827816971111"/>
    <m/>
    <m/>
    <e v="#N/A"/>
    <n v="921"/>
    <n v="26"/>
    <n v="946"/>
    <n v="945"/>
    <e v="#N/A"/>
    <s v=""/>
    <s v=""/>
    <s v=""/>
  </r>
  <r>
    <x v="5"/>
    <x v="26"/>
    <n v="3.2895126719322434"/>
    <n v="3.2895126719322434"/>
    <m/>
    <m/>
    <e v="#N/A"/>
    <n v="921"/>
    <n v="27"/>
    <n v="947"/>
    <n v="946"/>
    <e v="#N/A"/>
    <s v=""/>
    <s v=""/>
    <s v=""/>
  </r>
  <r>
    <x v="5"/>
    <x v="27"/>
    <n v="166.72594015538905"/>
    <n v="166.72594015538905"/>
    <m/>
    <m/>
    <e v="#N/A"/>
    <n v="921"/>
    <n v="28"/>
    <n v="948"/>
    <n v="947"/>
    <e v="#N/A"/>
    <s v=""/>
    <s v=""/>
    <s v=""/>
  </r>
  <r>
    <x v="5"/>
    <x v="28"/>
    <n v="93.986071978293765"/>
    <n v="93.986071978293765"/>
    <m/>
    <m/>
    <e v="#N/A"/>
    <n v="921"/>
    <n v="29"/>
    <n v="949"/>
    <n v="948"/>
    <e v="#N/A"/>
    <s v=""/>
    <s v=""/>
    <s v=""/>
  </r>
  <r>
    <x v="5"/>
    <x v="29"/>
    <n v="159.25264485798451"/>
    <n v="159.25264485798451"/>
    <m/>
    <m/>
    <e v="#N/A"/>
    <n v="921"/>
    <n v="30"/>
    <n v="950"/>
    <n v="949"/>
    <e v="#N/A"/>
    <s v=""/>
    <s v=""/>
    <s v=""/>
  </r>
  <r>
    <x v="5"/>
    <x v="30"/>
    <n v="56.199167172004529"/>
    <n v="56.199167172004529"/>
    <m/>
    <m/>
    <e v="#N/A"/>
    <n v="921"/>
    <n v="31"/>
    <n v="951"/>
    <n v="950"/>
    <e v="#N/A"/>
    <s v=""/>
    <s v=""/>
    <s v=""/>
  </r>
  <r>
    <x v="5"/>
    <x v="31"/>
    <n v="31.384602617034943"/>
    <n v="31.384602617034943"/>
    <m/>
    <m/>
    <e v="#N/A"/>
    <n v="921"/>
    <n v="32"/>
    <n v="952"/>
    <n v="951"/>
    <e v="#N/A"/>
    <s v=""/>
    <s v=""/>
    <s v=""/>
  </r>
  <r>
    <x v="5"/>
    <x v="32"/>
    <n v="181.65725172800398"/>
    <n v="181.65725172800398"/>
    <m/>
    <m/>
    <e v="#N/A"/>
    <n v="921"/>
    <n v="33"/>
    <n v="953"/>
    <n v="952"/>
    <e v="#N/A"/>
    <s v=""/>
    <s v=""/>
    <s v=""/>
  </r>
  <r>
    <x v="5"/>
    <x v="33"/>
    <n v="16.324083125885537"/>
    <n v="16.324083125885537"/>
    <m/>
    <m/>
    <e v="#N/A"/>
    <n v="921"/>
    <n v="34"/>
    <n v="954"/>
    <n v="953"/>
    <e v="#N/A"/>
    <s v=""/>
    <s v=""/>
    <s v=""/>
  </r>
  <r>
    <x v="5"/>
    <x v="34"/>
    <n v="7.9684956222059924"/>
    <n v="7.9684956222059924"/>
    <m/>
    <m/>
    <e v="#N/A"/>
    <n v="921"/>
    <n v="35"/>
    <n v="955"/>
    <n v="954"/>
    <e v="#N/A"/>
    <s v=""/>
    <s v=""/>
    <s v=""/>
  </r>
  <r>
    <x v="5"/>
    <x v="35"/>
    <n v="0"/>
    <n v="0"/>
    <m/>
    <m/>
    <e v="#N/A"/>
    <n v="921"/>
    <n v="36"/>
    <n v="956"/>
    <n v="955"/>
    <e v="#N/A"/>
    <s v=""/>
    <s v=""/>
    <s v=""/>
  </r>
  <r>
    <x v="5"/>
    <x v="36"/>
    <n v="0"/>
    <n v="0"/>
    <m/>
    <m/>
    <e v="#N/A"/>
    <n v="921"/>
    <n v="37"/>
    <n v="957"/>
    <n v="956"/>
    <e v="#N/A"/>
    <s v=""/>
    <s v=""/>
    <s v=""/>
  </r>
  <r>
    <x v="5"/>
    <x v="37"/>
    <n v="49.388603987890477"/>
    <n v="49.388603987890477"/>
    <m/>
    <m/>
    <e v="#N/A"/>
    <n v="921"/>
    <n v="38"/>
    <n v="958"/>
    <n v="957"/>
    <e v="#N/A"/>
    <s v=""/>
    <s v=""/>
    <s v=""/>
  </r>
  <r>
    <x v="5"/>
    <x v="38"/>
    <n v="0"/>
    <n v="0"/>
    <m/>
    <m/>
    <e v="#N/A"/>
    <n v="921"/>
    <n v="39"/>
    <n v="959"/>
    <n v="958"/>
    <e v="#N/A"/>
    <s v=""/>
    <s v=""/>
    <s v=""/>
  </r>
  <r>
    <x v="5"/>
    <x v="39"/>
    <n v="115.21110307993744"/>
    <n v="115.21110307993744"/>
    <m/>
    <m/>
    <e v="#N/A"/>
    <n v="921"/>
    <n v="40"/>
    <n v="960"/>
    <n v="959"/>
    <e v="#N/A"/>
    <s v=""/>
    <s v=""/>
    <s v=""/>
  </r>
  <r>
    <x v="5"/>
    <x v="40"/>
    <n v="0"/>
    <n v="0"/>
    <m/>
    <m/>
    <e v="#N/A"/>
    <n v="921"/>
    <n v="41"/>
    <n v="961"/>
    <n v="960"/>
    <e v="#N/A"/>
    <s v=""/>
    <s v=""/>
    <s v=""/>
  </r>
  <r>
    <x v="5"/>
    <x v="41"/>
    <n v="41.275827293000376"/>
    <n v="41.275827293000376"/>
    <m/>
    <m/>
    <e v="#N/A"/>
    <n v="921"/>
    <n v="42"/>
    <n v="962"/>
    <n v="961"/>
    <e v="#N/A"/>
    <s v=""/>
    <s v=""/>
    <s v=""/>
  </r>
  <r>
    <x v="5"/>
    <x v="42"/>
    <n v="256.84080161438766"/>
    <n v="256.84080161438766"/>
    <m/>
    <m/>
    <e v="#N/A"/>
    <n v="921"/>
    <n v="43"/>
    <n v="963"/>
    <n v="962"/>
    <e v="#N/A"/>
    <s v=""/>
    <s v=""/>
    <s v=""/>
  </r>
  <r>
    <x v="5"/>
    <x v="43"/>
    <n v="125.34992079742781"/>
    <n v="125.34992079742781"/>
    <m/>
    <m/>
    <e v="#N/A"/>
    <n v="921"/>
    <n v="44"/>
    <n v="964"/>
    <n v="963"/>
    <e v="#N/A"/>
    <s v=""/>
    <s v=""/>
    <s v=""/>
  </r>
  <r>
    <x v="5"/>
    <x v="44"/>
    <n v="110.4159202207296"/>
    <n v="110.4159202207296"/>
    <m/>
    <m/>
    <e v="#N/A"/>
    <n v="921"/>
    <n v="45"/>
    <n v="965"/>
    <n v="964"/>
    <e v="#N/A"/>
    <s v=""/>
    <s v=""/>
    <s v=""/>
  </r>
  <r>
    <x v="5"/>
    <x v="45"/>
    <n v="4.7299406537832596"/>
    <n v="4.7299406537832596"/>
    <m/>
    <m/>
    <e v="#N/A"/>
    <n v="921"/>
    <n v="46"/>
    <n v="966"/>
    <n v="965"/>
    <e v="#N/A"/>
    <s v=""/>
    <s v=""/>
    <s v=""/>
  </r>
  <r>
    <x v="5"/>
    <x v="46"/>
    <n v="87.009345057444648"/>
    <n v="87.009345057444648"/>
    <m/>
    <m/>
    <e v="#N/A"/>
    <n v="921"/>
    <n v="47"/>
    <n v="967"/>
    <n v="966"/>
    <e v="#N/A"/>
    <s v=""/>
    <s v=""/>
    <s v=""/>
  </r>
  <r>
    <x v="5"/>
    <x v="47"/>
    <n v="109.1378041408248"/>
    <n v="109.1378041408248"/>
    <m/>
    <m/>
    <e v="#N/A"/>
    <n v="921"/>
    <n v="48"/>
    <n v="968"/>
    <n v="967"/>
    <e v="#N/A"/>
    <s v=""/>
    <s v=""/>
    <s v=""/>
  </r>
  <r>
    <x v="5"/>
    <x v="48"/>
    <n v="4.8055473257113732"/>
    <n v="4.8055473257113732"/>
    <m/>
    <m/>
    <e v="#N/A"/>
    <n v="921"/>
    <n v="49"/>
    <n v="969"/>
    <n v="968"/>
    <e v="#N/A"/>
    <s v=""/>
    <s v=""/>
    <s v=""/>
  </r>
  <r>
    <x v="5"/>
    <x v="49"/>
    <n v="112.3025140506948"/>
    <n v="112.3025140506948"/>
    <m/>
    <m/>
    <e v="#N/A"/>
    <n v="921"/>
    <n v="50"/>
    <n v="970"/>
    <n v="969"/>
    <e v="#N/A"/>
    <s v=""/>
    <s v=""/>
    <s v=""/>
  </r>
  <r>
    <x v="5"/>
    <x v="50"/>
    <n v="172.88324625725153"/>
    <n v="172.88324625725153"/>
    <m/>
    <m/>
    <e v="#N/A"/>
    <n v="921"/>
    <n v="51"/>
    <n v="971"/>
    <n v="970"/>
    <e v="#N/A"/>
    <s v=""/>
    <s v=""/>
    <s v=""/>
  </r>
  <r>
    <x v="5"/>
    <x v="51"/>
    <n v="80.455974729360662"/>
    <n v="80.455974729360662"/>
    <m/>
    <m/>
    <e v="#N/A"/>
    <n v="921"/>
    <n v="52"/>
    <n v="972"/>
    <n v="971"/>
    <e v="#N/A"/>
    <s v=""/>
    <s v=""/>
    <s v=""/>
  </r>
  <r>
    <x v="5"/>
    <x v="52"/>
    <n v="89.341584228678613"/>
    <n v="89.341584228678613"/>
    <m/>
    <m/>
    <e v="#N/A"/>
    <n v="921"/>
    <n v="53"/>
    <n v="973"/>
    <n v="972"/>
    <e v="#N/A"/>
    <s v=""/>
    <s v=""/>
    <s v=""/>
  </r>
  <r>
    <x v="5"/>
    <x v="53"/>
    <n v="0"/>
    <n v="0"/>
    <m/>
    <m/>
    <e v="#N/A"/>
    <n v="921"/>
    <n v="54"/>
    <n v="974"/>
    <n v="973"/>
    <e v="#N/A"/>
    <s v=""/>
    <s v=""/>
    <s v=""/>
  </r>
  <r>
    <x v="5"/>
    <x v="54"/>
    <n v="17.300013243632634"/>
    <n v="17.300013243632634"/>
    <m/>
    <m/>
    <e v="#N/A"/>
    <n v="921"/>
    <n v="55"/>
    <n v="975"/>
    <n v="974"/>
    <e v="#N/A"/>
    <s v=""/>
    <s v=""/>
    <s v=""/>
  </r>
  <r>
    <x v="5"/>
    <x v="55"/>
    <n v="164.75612004165833"/>
    <n v="164.75612004165833"/>
    <m/>
    <m/>
    <e v="#N/A"/>
    <n v="921"/>
    <n v="56"/>
    <n v="976"/>
    <n v="975"/>
    <e v="#N/A"/>
    <s v=""/>
    <s v=""/>
    <s v=""/>
  </r>
  <r>
    <x v="5"/>
    <x v="56"/>
    <n v="61.642587333313173"/>
    <n v="61.642587333313173"/>
    <m/>
    <m/>
    <e v="#N/A"/>
    <n v="921"/>
    <n v="57"/>
    <n v="977"/>
    <n v="976"/>
    <e v="#N/A"/>
    <s v=""/>
    <s v=""/>
    <s v=""/>
  </r>
  <r>
    <x v="5"/>
    <x v="57"/>
    <n v="45.595000066736368"/>
    <n v="45.595000066736368"/>
    <m/>
    <m/>
    <e v="#N/A"/>
    <n v="921"/>
    <n v="58"/>
    <n v="978"/>
    <n v="977"/>
    <e v="#N/A"/>
    <s v=""/>
    <s v=""/>
    <s v=""/>
  </r>
  <r>
    <x v="5"/>
    <x v="58"/>
    <n v="59.865665035908002"/>
    <n v="59.865665035908002"/>
    <m/>
    <m/>
    <e v="#N/A"/>
    <n v="921"/>
    <n v="59"/>
    <n v="979"/>
    <n v="978"/>
    <e v="#N/A"/>
    <s v=""/>
    <s v=""/>
    <s v=""/>
  </r>
  <r>
    <x v="5"/>
    <x v="59"/>
    <n v="98.016600102526951"/>
    <n v="98.016600102526951"/>
    <m/>
    <m/>
    <e v="#N/A"/>
    <n v="921"/>
    <n v="60"/>
    <n v="980"/>
    <n v="979"/>
    <e v="#N/A"/>
    <s v=""/>
    <s v=""/>
    <s v=""/>
  </r>
  <r>
    <x v="5"/>
    <x v="60"/>
    <n v="32.067182081664384"/>
    <n v="32.067182081664384"/>
    <m/>
    <m/>
    <e v="#N/A"/>
    <n v="921"/>
    <n v="61"/>
    <n v="981"/>
    <n v="980"/>
    <e v="#N/A"/>
    <s v=""/>
    <s v=""/>
    <s v=""/>
  </r>
  <r>
    <x v="5"/>
    <x v="61"/>
    <n v="109.14978517101169"/>
    <n v="109.14978517101169"/>
    <m/>
    <m/>
    <e v="#N/A"/>
    <n v="921"/>
    <n v="62"/>
    <n v="982"/>
    <n v="981"/>
    <e v="#N/A"/>
    <s v=""/>
    <s v=""/>
    <s v=""/>
  </r>
  <r>
    <x v="5"/>
    <x v="62"/>
    <n v="20.05900623071966"/>
    <n v="20.05900623071966"/>
    <m/>
    <m/>
    <e v="#N/A"/>
    <n v="921"/>
    <n v="63"/>
    <n v="983"/>
    <n v="982"/>
    <e v="#N/A"/>
    <s v=""/>
    <s v=""/>
    <s v=""/>
  </r>
  <r>
    <x v="5"/>
    <x v="63"/>
    <n v="152.25885263580969"/>
    <n v="152.25885263580969"/>
    <m/>
    <m/>
    <e v="#N/A"/>
    <n v="921"/>
    <n v="64"/>
    <n v="984"/>
    <n v="983"/>
    <e v="#N/A"/>
    <s v=""/>
    <s v=""/>
    <s v=""/>
  </r>
  <r>
    <x v="5"/>
    <x v="64"/>
    <n v="38.313524521082428"/>
    <n v="38.313524521082428"/>
    <m/>
    <m/>
    <e v="#N/A"/>
    <n v="921"/>
    <n v="65"/>
    <n v="985"/>
    <n v="984"/>
    <e v="#N/A"/>
    <s v=""/>
    <s v=""/>
    <s v=""/>
  </r>
  <r>
    <x v="5"/>
    <x v="65"/>
    <n v="181.46471425242493"/>
    <n v="181.46471425242493"/>
    <m/>
    <m/>
    <e v="#N/A"/>
    <n v="921"/>
    <n v="66"/>
    <n v="986"/>
    <n v="985"/>
    <e v="#N/A"/>
    <s v=""/>
    <s v=""/>
    <s v=""/>
  </r>
  <r>
    <x v="5"/>
    <x v="66"/>
    <n v="104.13935018266825"/>
    <n v="104.13935018266825"/>
    <m/>
    <m/>
    <e v="#N/A"/>
    <n v="921"/>
    <n v="67"/>
    <n v="987"/>
    <n v="986"/>
    <e v="#N/A"/>
    <s v=""/>
    <s v=""/>
    <s v=""/>
  </r>
  <r>
    <x v="5"/>
    <x v="67"/>
    <n v="63.598389010902736"/>
    <n v="63.598389010902736"/>
    <m/>
    <m/>
    <e v="#N/A"/>
    <n v="921"/>
    <n v="68"/>
    <n v="988"/>
    <n v="987"/>
    <e v="#N/A"/>
    <s v=""/>
    <s v=""/>
    <s v=""/>
  </r>
  <r>
    <x v="5"/>
    <x v="68"/>
    <n v="183.58098187151339"/>
    <n v="183.58098187151339"/>
    <m/>
    <m/>
    <e v="#N/A"/>
    <n v="921"/>
    <n v="69"/>
    <n v="989"/>
    <n v="988"/>
    <e v="#N/A"/>
    <s v=""/>
    <s v=""/>
    <s v=""/>
  </r>
  <r>
    <x v="5"/>
    <x v="69"/>
    <n v="31.860194543012028"/>
    <n v="31.860194543012028"/>
    <m/>
    <m/>
    <e v="#N/A"/>
    <n v="921"/>
    <n v="70"/>
    <n v="990"/>
    <n v="989"/>
    <e v="#N/A"/>
    <s v=""/>
    <s v=""/>
    <s v=""/>
  </r>
  <r>
    <x v="5"/>
    <x v="70"/>
    <n v="91.127037104115189"/>
    <n v="91.127037104115189"/>
    <m/>
    <m/>
    <e v="#N/A"/>
    <n v="921"/>
    <n v="71"/>
    <n v="991"/>
    <n v="990"/>
    <e v="#N/A"/>
    <s v=""/>
    <s v=""/>
    <s v=""/>
  </r>
  <r>
    <x v="5"/>
    <x v="71"/>
    <n v="138.37479852222549"/>
    <n v="138.37479852222549"/>
    <m/>
    <m/>
    <e v="#N/A"/>
    <n v="921"/>
    <n v="72"/>
    <n v="992"/>
    <n v="991"/>
    <e v="#N/A"/>
    <s v=""/>
    <s v=""/>
    <s v=""/>
  </r>
  <r>
    <x v="5"/>
    <x v="72"/>
    <n v="117.79437252828978"/>
    <n v="117.79437252828978"/>
    <m/>
    <m/>
    <e v="#N/A"/>
    <n v="921"/>
    <n v="73"/>
    <n v="993"/>
    <n v="992"/>
    <e v="#N/A"/>
    <s v=""/>
    <s v=""/>
    <s v=""/>
  </r>
  <r>
    <x v="5"/>
    <x v="73"/>
    <n v="0"/>
    <n v="0"/>
    <m/>
    <m/>
    <e v="#N/A"/>
    <n v="921"/>
    <n v="74"/>
    <n v="994"/>
    <n v="993"/>
    <e v="#N/A"/>
    <s v=""/>
    <s v=""/>
    <s v=""/>
  </r>
  <r>
    <x v="5"/>
    <x v="74"/>
    <n v="51.665710983120405"/>
    <n v="51.665710983120405"/>
    <m/>
    <m/>
    <e v="#N/A"/>
    <n v="921"/>
    <n v="75"/>
    <n v="995"/>
    <n v="994"/>
    <e v="#N/A"/>
    <s v=""/>
    <s v=""/>
    <s v=""/>
  </r>
  <r>
    <x v="5"/>
    <x v="75"/>
    <n v="142.79686239208499"/>
    <n v="142.79686239208499"/>
    <m/>
    <m/>
    <e v="#N/A"/>
    <n v="921"/>
    <n v="76"/>
    <n v="996"/>
    <n v="995"/>
    <e v="#N/A"/>
    <s v=""/>
    <s v=""/>
    <s v=""/>
  </r>
  <r>
    <x v="5"/>
    <x v="76"/>
    <n v="33.436652986392176"/>
    <n v="33.436652986392176"/>
    <m/>
    <m/>
    <e v="#N/A"/>
    <n v="921"/>
    <n v="77"/>
    <n v="997"/>
    <n v="996"/>
    <e v="#N/A"/>
    <s v=""/>
    <s v=""/>
    <s v=""/>
  </r>
  <r>
    <x v="5"/>
    <x v="77"/>
    <n v="184.18416418657245"/>
    <n v="184.18416418657245"/>
    <m/>
    <m/>
    <e v="#N/A"/>
    <n v="921"/>
    <n v="78"/>
    <n v="998"/>
    <n v="997"/>
    <e v="#N/A"/>
    <s v=""/>
    <s v=""/>
    <s v=""/>
  </r>
  <r>
    <x v="5"/>
    <x v="78"/>
    <n v="133.28352216400071"/>
    <n v="133.28352216400071"/>
    <m/>
    <m/>
    <e v="#N/A"/>
    <n v="921"/>
    <n v="79"/>
    <n v="999"/>
    <n v="998"/>
    <e v="#N/A"/>
    <s v=""/>
    <s v=""/>
    <s v=""/>
  </r>
  <r>
    <x v="5"/>
    <x v="79"/>
    <n v="71.87111932261746"/>
    <n v="71.87111932261746"/>
    <m/>
    <m/>
    <e v="#N/A"/>
    <n v="921"/>
    <n v="80"/>
    <n v="1000"/>
    <n v="999"/>
    <e v="#N/A"/>
    <s v=""/>
    <s v=""/>
    <s v=""/>
  </r>
  <r>
    <x v="5"/>
    <x v="80"/>
    <n v="96.448174888086939"/>
    <n v="96.448174888086939"/>
    <m/>
    <m/>
    <e v="#N/A"/>
    <n v="921"/>
    <n v="81"/>
    <n v="1001"/>
    <n v="1000"/>
    <e v="#N/A"/>
    <s v=""/>
    <s v=""/>
    <s v=""/>
  </r>
  <r>
    <x v="5"/>
    <x v="81"/>
    <n v="215.24996142023014"/>
    <n v="215.24996142023014"/>
    <m/>
    <m/>
    <e v="#N/A"/>
    <n v="921"/>
    <n v="82"/>
    <n v="1002"/>
    <n v="1001"/>
    <e v="#N/A"/>
    <s v=""/>
    <s v=""/>
    <s v=""/>
  </r>
  <r>
    <x v="5"/>
    <x v="82"/>
    <n v="160.88718077259671"/>
    <n v="160.88718077259671"/>
    <m/>
    <m/>
    <e v="#N/A"/>
    <n v="921"/>
    <n v="83"/>
    <n v="1003"/>
    <n v="1002"/>
    <e v="#N/A"/>
    <s v=""/>
    <s v=""/>
    <s v=""/>
  </r>
  <r>
    <x v="5"/>
    <x v="83"/>
    <n v="129.0129661001385"/>
    <n v="129.0129661001385"/>
    <m/>
    <m/>
    <e v="#N/A"/>
    <n v="921"/>
    <n v="84"/>
    <n v="1004"/>
    <n v="1003"/>
    <e v="#N/A"/>
    <s v=""/>
    <s v=""/>
    <s v=""/>
  </r>
  <r>
    <x v="5"/>
    <x v="84"/>
    <n v="18.513651987707689"/>
    <n v="18.513651987707689"/>
    <m/>
    <m/>
    <e v="#N/A"/>
    <n v="921"/>
    <n v="85"/>
    <n v="1005"/>
    <n v="1004"/>
    <e v="#N/A"/>
    <s v=""/>
    <s v=""/>
    <s v=""/>
  </r>
  <r>
    <x v="5"/>
    <x v="85"/>
    <n v="202.62852601271726"/>
    <n v="202.62852601271726"/>
    <m/>
    <m/>
    <e v="#N/A"/>
    <n v="921"/>
    <n v="86"/>
    <n v="1006"/>
    <n v="1005"/>
    <e v="#N/A"/>
    <s v=""/>
    <s v=""/>
    <s v=""/>
  </r>
  <r>
    <x v="5"/>
    <x v="86"/>
    <n v="166.50892999578471"/>
    <n v="166.50892999578471"/>
    <m/>
    <m/>
    <e v="#N/A"/>
    <n v="921"/>
    <n v="87"/>
    <n v="1007"/>
    <n v="1006"/>
    <e v="#N/A"/>
    <s v=""/>
    <s v=""/>
    <s v=""/>
  </r>
  <r>
    <x v="5"/>
    <x v="87"/>
    <n v="99.10225478509436"/>
    <n v="99.10225478509436"/>
    <m/>
    <m/>
    <e v="#N/A"/>
    <n v="921"/>
    <n v="88"/>
    <n v="1008"/>
    <n v="1007"/>
    <e v="#N/A"/>
    <s v=""/>
    <s v=""/>
    <s v=""/>
  </r>
  <r>
    <x v="5"/>
    <x v="88"/>
    <n v="77.605184290974208"/>
    <n v="77.605184290974208"/>
    <m/>
    <m/>
    <e v="#N/A"/>
    <n v="921"/>
    <n v="89"/>
    <n v="1009"/>
    <n v="1008"/>
    <e v="#N/A"/>
    <s v=""/>
    <s v=""/>
    <s v=""/>
  </r>
  <r>
    <x v="5"/>
    <x v="89"/>
    <n v="101.93273468877105"/>
    <n v="101.93273468877105"/>
    <m/>
    <m/>
    <e v="#N/A"/>
    <n v="921"/>
    <n v="90"/>
    <n v="1010"/>
    <n v="1009"/>
    <e v="#N/A"/>
    <s v=""/>
    <s v=""/>
    <s v=""/>
  </r>
  <r>
    <x v="5"/>
    <x v="90"/>
    <n v="36.758707990203362"/>
    <n v="36.758707990203362"/>
    <m/>
    <m/>
    <e v="#N/A"/>
    <n v="921"/>
    <n v="91"/>
    <n v="1011"/>
    <n v="1010"/>
    <e v="#N/A"/>
    <s v=""/>
    <s v=""/>
    <s v=""/>
  </r>
  <r>
    <x v="5"/>
    <x v="91"/>
    <n v="80.28975528590135"/>
    <n v="80.28975528590135"/>
    <m/>
    <m/>
    <e v="#N/A"/>
    <n v="921"/>
    <n v="92"/>
    <n v="1012"/>
    <n v="1011"/>
    <e v="#N/A"/>
    <s v=""/>
    <s v=""/>
    <s v=""/>
  </r>
  <r>
    <x v="5"/>
    <x v="92"/>
    <n v="158.18350550821748"/>
    <n v="158.18350550821748"/>
    <m/>
    <m/>
    <e v="#N/A"/>
    <n v="921"/>
    <n v="93"/>
    <n v="1013"/>
    <n v="1012"/>
    <e v="#N/A"/>
    <s v=""/>
    <s v=""/>
    <s v=""/>
  </r>
  <r>
    <x v="5"/>
    <x v="93"/>
    <n v="8.292772218880728"/>
    <n v="8.292772218880728"/>
    <m/>
    <m/>
    <e v="#N/A"/>
    <n v="921"/>
    <n v="94"/>
    <n v="1014"/>
    <n v="1013"/>
    <e v="#N/A"/>
    <s v=""/>
    <s v=""/>
    <s v=""/>
  </r>
  <r>
    <x v="5"/>
    <x v="94"/>
    <n v="103.36708986578606"/>
    <n v="103.36708986578606"/>
    <m/>
    <m/>
    <e v="#N/A"/>
    <n v="921"/>
    <n v="95"/>
    <n v="1015"/>
    <n v="1014"/>
    <e v="#N/A"/>
    <s v=""/>
    <s v=""/>
    <s v=""/>
  </r>
  <r>
    <x v="5"/>
    <x v="95"/>
    <n v="112.62821336390655"/>
    <n v="112.62821336390655"/>
    <m/>
    <m/>
    <e v="#N/A"/>
    <n v="921"/>
    <n v="96"/>
    <n v="1016"/>
    <n v="1015"/>
    <e v="#N/A"/>
    <s v=""/>
    <s v=""/>
    <s v=""/>
  </r>
  <r>
    <x v="5"/>
    <x v="96"/>
    <n v="113.07917728035987"/>
    <n v="113.07917728035987"/>
    <m/>
    <m/>
    <e v="#N/A"/>
    <n v="921"/>
    <n v="97"/>
    <n v="1017"/>
    <n v="1016"/>
    <e v="#N/A"/>
    <s v=""/>
    <s v=""/>
    <s v=""/>
  </r>
  <r>
    <x v="5"/>
    <x v="97"/>
    <n v="37.975634749008861"/>
    <n v="37.975634749008861"/>
    <m/>
    <m/>
    <e v="#N/A"/>
    <n v="921"/>
    <n v="98"/>
    <n v="1018"/>
    <n v="1017"/>
    <e v="#N/A"/>
    <s v=""/>
    <s v=""/>
    <s v=""/>
  </r>
  <r>
    <x v="5"/>
    <x v="98"/>
    <n v="33.928278413794487"/>
    <n v="33.928278413794487"/>
    <m/>
    <m/>
    <e v="#N/A"/>
    <n v="921"/>
    <n v="99"/>
    <n v="1019"/>
    <n v="1018"/>
    <e v="#N/A"/>
    <s v=""/>
    <s v=""/>
    <s v=""/>
  </r>
  <r>
    <x v="5"/>
    <x v="99"/>
    <n v="169.93545336841208"/>
    <n v="169.93545336841208"/>
    <m/>
    <m/>
    <e v="#N/A"/>
    <n v="921"/>
    <n v="100"/>
    <n v="1020"/>
    <n v="1019"/>
    <e v="#N/A"/>
    <s v=""/>
    <s v=""/>
    <s v=""/>
  </r>
  <r>
    <x v="5"/>
    <x v="100"/>
    <n v="30.962767446880363"/>
    <n v="30.962767446880363"/>
    <m/>
    <m/>
    <e v="#N/A"/>
    <n v="921"/>
    <n v="101"/>
    <n v="1021"/>
    <n v="1020"/>
    <e v="#N/A"/>
    <s v=""/>
    <s v=""/>
    <s v=""/>
  </r>
  <r>
    <x v="5"/>
    <x v="101"/>
    <n v="165.32257632553285"/>
    <n v="165.32257632553285"/>
    <m/>
    <m/>
    <e v="#N/A"/>
    <n v="921"/>
    <n v="102"/>
    <n v="1022"/>
    <n v="1021"/>
    <e v="#N/A"/>
    <s v=""/>
    <s v=""/>
    <s v=""/>
  </r>
  <r>
    <x v="5"/>
    <x v="102"/>
    <n v="75.895296051145436"/>
    <n v="75.895296051145436"/>
    <m/>
    <m/>
    <e v="#N/A"/>
    <n v="921"/>
    <n v="103"/>
    <n v="1023"/>
    <n v="1022"/>
    <e v="#N/A"/>
    <s v=""/>
    <s v=""/>
    <s v=""/>
  </r>
  <r>
    <x v="5"/>
    <x v="103"/>
    <n v="169.5633723166377"/>
    <n v="169.5633723166377"/>
    <m/>
    <m/>
    <e v="#N/A"/>
    <n v="921"/>
    <n v="104"/>
    <n v="1024"/>
    <n v="1023"/>
    <e v="#N/A"/>
    <s v=""/>
    <s v=""/>
    <s v=""/>
  </r>
  <r>
    <x v="5"/>
    <x v="104"/>
    <n v="79.535007153915956"/>
    <n v="79.535007153915956"/>
    <m/>
    <m/>
    <e v="#N/A"/>
    <n v="921"/>
    <n v="105"/>
    <n v="1025"/>
    <n v="1024"/>
    <e v="#N/A"/>
    <s v=""/>
    <s v=""/>
    <s v=""/>
  </r>
  <r>
    <x v="5"/>
    <x v="105"/>
    <n v="34.929022906102588"/>
    <n v="34.929022906102588"/>
    <m/>
    <m/>
    <e v="#N/A"/>
    <n v="921"/>
    <n v="106"/>
    <n v="1026"/>
    <n v="1025"/>
    <e v="#N/A"/>
    <s v=""/>
    <s v=""/>
    <s v=""/>
  </r>
  <r>
    <x v="5"/>
    <x v="106"/>
    <n v="156.43084002317585"/>
    <n v="156.43084002317585"/>
    <m/>
    <m/>
    <e v="#N/A"/>
    <n v="921"/>
    <n v="107"/>
    <n v="1027"/>
    <n v="1026"/>
    <e v="#N/A"/>
    <s v=""/>
    <s v=""/>
    <s v=""/>
  </r>
  <r>
    <x v="5"/>
    <x v="107"/>
    <n v="104.11922598328809"/>
    <n v="104.11922598328809"/>
    <m/>
    <m/>
    <e v="#N/A"/>
    <n v="921"/>
    <n v="108"/>
    <n v="1028"/>
    <n v="1027"/>
    <e v="#N/A"/>
    <s v=""/>
    <s v=""/>
    <s v=""/>
  </r>
  <r>
    <x v="5"/>
    <x v="108"/>
    <n v="192.20088860830657"/>
    <n v="192.20088860830657"/>
    <m/>
    <m/>
    <e v="#N/A"/>
    <n v="921"/>
    <n v="109"/>
    <n v="1029"/>
    <n v="1028"/>
    <e v="#N/A"/>
    <s v=""/>
    <s v=""/>
    <s v=""/>
  </r>
  <r>
    <x v="5"/>
    <x v="109"/>
    <n v="158.96286322641103"/>
    <n v="158.96286322641103"/>
    <m/>
    <m/>
    <e v="#N/A"/>
    <n v="921"/>
    <n v="110"/>
    <n v="1030"/>
    <n v="1029"/>
    <e v="#N/A"/>
    <s v=""/>
    <s v=""/>
    <s v=""/>
  </r>
  <r>
    <x v="5"/>
    <x v="110"/>
    <n v="91.782923809952024"/>
    <n v="91.782923809952024"/>
    <m/>
    <m/>
    <e v="#N/A"/>
    <n v="921"/>
    <n v="111"/>
    <n v="1031"/>
    <n v="1030"/>
    <e v="#N/A"/>
    <s v=""/>
    <s v=""/>
    <s v=""/>
  </r>
  <r>
    <x v="5"/>
    <x v="111"/>
    <n v="78.701032959348964"/>
    <n v="78.701032959348964"/>
    <m/>
    <m/>
    <e v="#N/A"/>
    <n v="921"/>
    <n v="112"/>
    <n v="1032"/>
    <n v="1031"/>
    <e v="#N/A"/>
    <s v=""/>
    <s v=""/>
    <s v=""/>
  </r>
  <r>
    <x v="5"/>
    <x v="112"/>
    <n v="107.27606504995987"/>
    <n v="107.27606504995987"/>
    <m/>
    <m/>
    <e v="#N/A"/>
    <n v="921"/>
    <n v="113"/>
    <n v="1033"/>
    <n v="1032"/>
    <e v="#N/A"/>
    <s v=""/>
    <s v=""/>
    <s v=""/>
  </r>
  <r>
    <x v="5"/>
    <x v="113"/>
    <n v="117.38362791292504"/>
    <n v="117.38362791292504"/>
    <m/>
    <m/>
    <e v="#N/A"/>
    <n v="921"/>
    <n v="114"/>
    <n v="1034"/>
    <n v="1033"/>
    <e v="#N/A"/>
    <s v=""/>
    <s v=""/>
    <s v=""/>
  </r>
  <r>
    <x v="5"/>
    <x v="114"/>
    <n v="53.203593288456453"/>
    <n v="53.203593288456453"/>
    <m/>
    <m/>
    <e v="#N/A"/>
    <n v="921"/>
    <n v="115"/>
    <n v="1035"/>
    <n v="1034"/>
    <e v="#N/A"/>
    <s v=""/>
    <s v=""/>
    <s v=""/>
  </r>
  <r>
    <x v="5"/>
    <x v="115"/>
    <n v="156.90577908090242"/>
    <n v="156.90577908090242"/>
    <m/>
    <m/>
    <e v="#N/A"/>
    <n v="921"/>
    <n v="116"/>
    <n v="1036"/>
    <n v="1035"/>
    <e v="#N/A"/>
    <s v=""/>
    <s v=""/>
    <s v=""/>
  </r>
  <r>
    <x v="5"/>
    <x v="116"/>
    <n v="87.77311831924348"/>
    <n v="87.77311831924348"/>
    <m/>
    <m/>
    <e v="#N/A"/>
    <n v="921"/>
    <n v="117"/>
    <n v="1037"/>
    <n v="1036"/>
    <e v="#N/A"/>
    <s v=""/>
    <s v=""/>
    <s v=""/>
  </r>
  <r>
    <x v="5"/>
    <x v="117"/>
    <n v="84.241464381905999"/>
    <n v="84.241464381905999"/>
    <m/>
    <m/>
    <e v="#N/A"/>
    <n v="921"/>
    <n v="118"/>
    <n v="1038"/>
    <n v="1037"/>
    <e v="#N/A"/>
    <s v=""/>
    <s v=""/>
    <s v=""/>
  </r>
  <r>
    <x v="5"/>
    <x v="118"/>
    <n v="74.332397777209877"/>
    <n v="74.332397777209877"/>
    <m/>
    <m/>
    <e v="#N/A"/>
    <n v="921"/>
    <n v="119"/>
    <n v="1039"/>
    <n v="1038"/>
    <e v="#N/A"/>
    <s v=""/>
    <s v=""/>
    <s v=""/>
  </r>
  <r>
    <x v="5"/>
    <x v="119"/>
    <n v="156.4523252566166"/>
    <n v="156.4523252566166"/>
    <m/>
    <m/>
    <e v="#N/A"/>
    <n v="921"/>
    <n v="120"/>
    <n v="1040"/>
    <n v="1039"/>
    <e v="#N/A"/>
    <s v=""/>
    <s v=""/>
    <s v=""/>
  </r>
  <r>
    <x v="5"/>
    <x v="120"/>
    <n v="82.872549062362765"/>
    <n v="82.872549062362765"/>
    <m/>
    <m/>
    <e v="#N/A"/>
    <n v="921"/>
    <n v="121"/>
    <n v="1041"/>
    <n v="1040"/>
    <e v="#N/A"/>
    <s v=""/>
    <s v=""/>
    <s v=""/>
  </r>
  <r>
    <x v="5"/>
    <x v="121"/>
    <n v="149.62980823774825"/>
    <n v="149.62980823774825"/>
    <m/>
    <m/>
    <e v="#N/A"/>
    <n v="921"/>
    <n v="122"/>
    <n v="1042"/>
    <n v="1041"/>
    <e v="#N/A"/>
    <s v=""/>
    <s v=""/>
    <s v=""/>
  </r>
  <r>
    <x v="5"/>
    <x v="122"/>
    <n v="300.89266087917781"/>
    <n v="300.89266087917781"/>
    <m/>
    <m/>
    <e v="#N/A"/>
    <n v="921"/>
    <n v="123"/>
    <n v="1043"/>
    <n v="1042"/>
    <e v="#N/A"/>
    <s v=""/>
    <s v=""/>
    <s v=""/>
  </r>
  <r>
    <x v="5"/>
    <x v="123"/>
    <n v="129.93601681683379"/>
    <n v="129.93601681683379"/>
    <m/>
    <m/>
    <e v="#N/A"/>
    <n v="921"/>
    <n v="124"/>
    <n v="1044"/>
    <n v="1043"/>
    <e v="#N/A"/>
    <s v=""/>
    <s v=""/>
    <s v=""/>
  </r>
  <r>
    <x v="5"/>
    <x v="124"/>
    <n v="106.1783396594937"/>
    <n v="106.1783396594937"/>
    <m/>
    <m/>
    <e v="#N/A"/>
    <n v="921"/>
    <n v="125"/>
    <n v="1045"/>
    <n v="1044"/>
    <e v="#N/A"/>
    <s v=""/>
    <s v=""/>
    <s v=""/>
  </r>
  <r>
    <x v="5"/>
    <x v="125"/>
    <n v="31.156109669111984"/>
    <n v="31.156109669111984"/>
    <m/>
    <m/>
    <e v="#N/A"/>
    <n v="921"/>
    <n v="126"/>
    <n v="1046"/>
    <n v="1045"/>
    <e v="#N/A"/>
    <s v=""/>
    <s v=""/>
    <s v=""/>
  </r>
  <r>
    <x v="5"/>
    <x v="126"/>
    <n v="131.94442702282569"/>
    <n v="131.94442702282569"/>
    <m/>
    <m/>
    <e v="#N/A"/>
    <n v="921"/>
    <n v="127"/>
    <n v="1047"/>
    <n v="1046"/>
    <e v="#N/A"/>
    <s v=""/>
    <s v=""/>
    <s v=""/>
  </r>
  <r>
    <x v="5"/>
    <x v="127"/>
    <n v="64.660722534974809"/>
    <n v="64.660722534974809"/>
    <m/>
    <m/>
    <e v="#N/A"/>
    <n v="921"/>
    <n v="128"/>
    <n v="1048"/>
    <n v="1047"/>
    <e v="#N/A"/>
    <s v=""/>
    <s v=""/>
    <s v=""/>
  </r>
  <r>
    <x v="5"/>
    <x v="128"/>
    <n v="100.9083300369209"/>
    <n v="100.9083300369209"/>
    <m/>
    <m/>
    <e v="#N/A"/>
    <n v="921"/>
    <n v="129"/>
    <n v="1049"/>
    <n v="1048"/>
    <e v="#N/A"/>
    <s v=""/>
    <s v=""/>
    <s v=""/>
  </r>
  <r>
    <x v="5"/>
    <x v="129"/>
    <n v="121.34320996033865"/>
    <n v="121.34320996033865"/>
    <m/>
    <m/>
    <e v="#N/A"/>
    <n v="921"/>
    <n v="130"/>
    <n v="1050"/>
    <n v="1049"/>
    <e v="#N/A"/>
    <s v=""/>
    <s v=""/>
    <s v=""/>
  </r>
  <r>
    <x v="5"/>
    <x v="130"/>
    <n v="5.9073782210628423"/>
    <n v="5.9073782210628423"/>
    <m/>
    <m/>
    <e v="#N/A"/>
    <n v="921"/>
    <n v="131"/>
    <n v="1051"/>
    <n v="1050"/>
    <e v="#N/A"/>
    <s v=""/>
    <s v=""/>
    <s v=""/>
  </r>
  <r>
    <x v="5"/>
    <x v="131"/>
    <n v="118.90308317371932"/>
    <n v="118.90308317371932"/>
    <m/>
    <m/>
    <e v="#N/A"/>
    <n v="921"/>
    <n v="132"/>
    <n v="1052"/>
    <n v="1051"/>
    <e v="#N/A"/>
    <s v=""/>
    <s v=""/>
    <s v=""/>
  </r>
  <r>
    <x v="5"/>
    <x v="132"/>
    <n v="127.84333103664295"/>
    <n v="127.84333103664295"/>
    <m/>
    <m/>
    <e v="#N/A"/>
    <n v="921"/>
    <n v="133"/>
    <n v="1053"/>
    <n v="1052"/>
    <e v="#N/A"/>
    <s v=""/>
    <s v=""/>
    <s v=""/>
  </r>
  <r>
    <x v="5"/>
    <x v="133"/>
    <n v="32.823515812114465"/>
    <n v="32.823515812114465"/>
    <m/>
    <m/>
    <e v="#N/A"/>
    <n v="921"/>
    <n v="134"/>
    <n v="1054"/>
    <n v="1053"/>
    <e v="#N/A"/>
    <s v=""/>
    <s v=""/>
    <s v=""/>
  </r>
  <r>
    <x v="5"/>
    <x v="134"/>
    <n v="88.072221372285725"/>
    <n v="88.072221372285725"/>
    <m/>
    <m/>
    <e v="#N/A"/>
    <n v="921"/>
    <n v="135"/>
    <n v="1055"/>
    <n v="1054"/>
    <e v="#N/A"/>
    <s v=""/>
    <s v=""/>
    <s v=""/>
  </r>
  <r>
    <x v="5"/>
    <x v="135"/>
    <n v="3.8188954926357894"/>
    <n v="3.8188954926357894"/>
    <m/>
    <m/>
    <e v="#N/A"/>
    <n v="921"/>
    <n v="136"/>
    <n v="1056"/>
    <n v="1055"/>
    <e v="#N/A"/>
    <s v=""/>
    <s v=""/>
    <s v=""/>
  </r>
  <r>
    <x v="5"/>
    <x v="136"/>
    <n v="206.80923471806256"/>
    <n v="206.80923471806256"/>
    <m/>
    <m/>
    <e v="#N/A"/>
    <n v="921"/>
    <n v="137"/>
    <n v="1057"/>
    <n v="1056"/>
    <e v="#N/A"/>
    <s v=""/>
    <s v=""/>
    <s v=""/>
  </r>
  <r>
    <x v="5"/>
    <x v="137"/>
    <n v="131.55955667734253"/>
    <n v="131.55955667734253"/>
    <m/>
    <m/>
    <e v="#N/A"/>
    <n v="921"/>
    <n v="138"/>
    <n v="1058"/>
    <n v="1057"/>
    <e v="#N/A"/>
    <s v=""/>
    <s v=""/>
    <s v=""/>
  </r>
  <r>
    <x v="5"/>
    <x v="138"/>
    <n v="107.3854059338625"/>
    <n v="107.3854059338625"/>
    <m/>
    <m/>
    <e v="#N/A"/>
    <n v="921"/>
    <n v="139"/>
    <n v="1059"/>
    <n v="1058"/>
    <e v="#N/A"/>
    <s v=""/>
    <s v=""/>
    <s v=""/>
  </r>
  <r>
    <x v="5"/>
    <x v="139"/>
    <n v="115.9958065444079"/>
    <n v="115.9958065444079"/>
    <m/>
    <m/>
    <e v="#N/A"/>
    <n v="921"/>
    <n v="140"/>
    <n v="1060"/>
    <n v="1059"/>
    <e v="#N/A"/>
    <s v=""/>
    <s v=""/>
    <s v=""/>
  </r>
  <r>
    <x v="5"/>
    <x v="140"/>
    <n v="191.16739519060189"/>
    <n v="191.16739519060189"/>
    <m/>
    <m/>
    <e v="#N/A"/>
    <n v="921"/>
    <n v="141"/>
    <n v="1061"/>
    <n v="1060"/>
    <e v="#N/A"/>
    <s v=""/>
    <s v=""/>
    <s v=""/>
  </r>
  <r>
    <x v="5"/>
    <x v="141"/>
    <n v="123.7227230241885"/>
    <n v="123.7227230241885"/>
    <m/>
    <m/>
    <e v="#N/A"/>
    <n v="921"/>
    <n v="142"/>
    <n v="1062"/>
    <n v="1061"/>
    <e v="#N/A"/>
    <s v=""/>
    <s v=""/>
    <s v=""/>
  </r>
  <r>
    <x v="5"/>
    <x v="142"/>
    <n v="141.65248810546652"/>
    <n v="141.65248810546652"/>
    <m/>
    <m/>
    <e v="#N/A"/>
    <n v="921"/>
    <n v="143"/>
    <n v="1063"/>
    <n v="1062"/>
    <e v="#N/A"/>
    <s v=""/>
    <s v=""/>
    <s v=""/>
  </r>
  <r>
    <x v="5"/>
    <x v="143"/>
    <n v="213.62724306997944"/>
    <n v="213.62724306997944"/>
    <m/>
    <m/>
    <e v="#N/A"/>
    <n v="921"/>
    <n v="144"/>
    <n v="1064"/>
    <n v="1063"/>
    <e v="#N/A"/>
    <s v=""/>
    <s v=""/>
    <s v=""/>
  </r>
  <r>
    <x v="5"/>
    <x v="144"/>
    <n v="94.739592533578659"/>
    <n v="94.739592533578659"/>
    <m/>
    <m/>
    <e v="#N/A"/>
    <n v="921"/>
    <n v="145"/>
    <n v="1065"/>
    <n v="1064"/>
    <e v="#N/A"/>
    <s v=""/>
    <s v=""/>
    <s v=""/>
  </r>
  <r>
    <x v="5"/>
    <x v="145"/>
    <n v="58.958838410013016"/>
    <n v="58.958838410013016"/>
    <m/>
    <m/>
    <e v="#N/A"/>
    <n v="921"/>
    <n v="146"/>
    <n v="1066"/>
    <n v="1065"/>
    <e v="#N/A"/>
    <s v=""/>
    <s v=""/>
    <s v=""/>
  </r>
  <r>
    <x v="5"/>
    <x v="146"/>
    <n v="74.817497506702097"/>
    <n v="74.817497506702097"/>
    <m/>
    <m/>
    <e v="#N/A"/>
    <n v="921"/>
    <n v="147"/>
    <n v="1067"/>
    <n v="1066"/>
    <e v="#N/A"/>
    <s v=""/>
    <s v=""/>
    <s v=""/>
  </r>
  <r>
    <x v="5"/>
    <x v="147"/>
    <n v="211.51315189827523"/>
    <n v="211.51315189827523"/>
    <m/>
    <m/>
    <e v="#N/A"/>
    <n v="921"/>
    <n v="148"/>
    <n v="1068"/>
    <n v="1067"/>
    <e v="#N/A"/>
    <s v=""/>
    <s v=""/>
    <s v=""/>
  </r>
  <r>
    <x v="5"/>
    <x v="148"/>
    <n v="123.21417774941187"/>
    <n v="123.21417774941187"/>
    <m/>
    <m/>
    <e v="#N/A"/>
    <n v="921"/>
    <n v="149"/>
    <n v="1069"/>
    <n v="1068"/>
    <e v="#N/A"/>
    <s v=""/>
    <s v=""/>
    <s v=""/>
  </r>
  <r>
    <x v="5"/>
    <x v="149"/>
    <n v="102.12165830587477"/>
    <n v="102.12165830587477"/>
    <m/>
    <m/>
    <e v="#N/A"/>
    <n v="921"/>
    <n v="150"/>
    <n v="1070"/>
    <n v="1069"/>
    <e v="#N/A"/>
    <s v=""/>
    <s v=""/>
    <s v=""/>
  </r>
  <r>
    <x v="5"/>
    <x v="150"/>
    <n v="175.81964095231592"/>
    <n v="175.81964095231592"/>
    <m/>
    <m/>
    <e v="#N/A"/>
    <n v="921"/>
    <n v="151"/>
    <n v="1071"/>
    <n v="1070"/>
    <e v="#N/A"/>
    <s v=""/>
    <s v=""/>
    <s v=""/>
  </r>
  <r>
    <x v="5"/>
    <x v="151"/>
    <n v="176.61054787840527"/>
    <n v="176.61054787840527"/>
    <m/>
    <m/>
    <e v="#N/A"/>
    <n v="921"/>
    <n v="152"/>
    <n v="1072"/>
    <n v="1071"/>
    <e v="#N/A"/>
    <s v=""/>
    <s v=""/>
    <s v=""/>
  </r>
  <r>
    <x v="5"/>
    <x v="152"/>
    <n v="88.455743905649001"/>
    <n v="88.455743905649001"/>
    <m/>
    <m/>
    <e v="#N/A"/>
    <n v="921"/>
    <n v="153"/>
    <n v="1073"/>
    <n v="1072"/>
    <e v="#N/A"/>
    <s v=""/>
    <s v=""/>
    <s v=""/>
  </r>
  <r>
    <x v="5"/>
    <x v="153"/>
    <n v="57.89534184217711"/>
    <n v="57.89534184217711"/>
    <m/>
    <m/>
    <e v="#N/A"/>
    <n v="921"/>
    <n v="154"/>
    <n v="1074"/>
    <n v="1073"/>
    <e v="#N/A"/>
    <s v=""/>
    <s v=""/>
    <s v=""/>
  </r>
  <r>
    <x v="5"/>
    <x v="154"/>
    <n v="22.285342312150235"/>
    <n v="22.285342312150235"/>
    <m/>
    <m/>
    <e v="#N/A"/>
    <n v="921"/>
    <n v="155"/>
    <n v="1075"/>
    <n v="1074"/>
    <e v="#N/A"/>
    <s v=""/>
    <s v=""/>
    <s v=""/>
  </r>
  <r>
    <x v="5"/>
    <x v="155"/>
    <n v="9.0932304560080297"/>
    <n v="9.0932304560080297"/>
    <m/>
    <m/>
    <e v="#N/A"/>
    <n v="921"/>
    <n v="156"/>
    <n v="1076"/>
    <n v="1075"/>
    <e v="#N/A"/>
    <s v=""/>
    <s v=""/>
    <s v=""/>
  </r>
  <r>
    <x v="5"/>
    <x v="156"/>
    <n v="100.56998699670685"/>
    <m/>
    <n v="100.56998699670685"/>
    <n v="107.70431698398198"/>
    <n v="135.75189776056123"/>
    <n v="921"/>
    <s v=""/>
    <n v="1076"/>
    <n v="1076"/>
    <n v="104.11024896495712"/>
    <n v="3.5402619682502774"/>
    <n v="7.1343299872751373"/>
    <n v="35.18191076385439"/>
  </r>
  <r>
    <x v="5"/>
    <x v="157"/>
    <n v="63.271371398406423"/>
    <m/>
    <n v="63.271371398406423"/>
    <n v="66.041721607044025"/>
    <n v="124.69531864463683"/>
    <n v="921"/>
    <s v=""/>
    <n v="1076"/>
    <n v="1077"/>
    <n v="15.351150268197316"/>
    <n v="47.920221130209107"/>
    <n v="2.770350208637602"/>
    <n v="61.423947246230405"/>
  </r>
  <r>
    <x v="5"/>
    <x v="158"/>
    <n v="228.77510384410752"/>
    <m/>
    <n v="228.77510384410752"/>
    <n v="98.979849789032073"/>
    <n v="86.31174398459541"/>
    <n v="921"/>
    <s v=""/>
    <n v="1076"/>
    <n v="1078"/>
    <n v="32.336698528161584"/>
    <n v="196.43840531594594"/>
    <n v="129.79525405507545"/>
    <n v="142.46335985951211"/>
  </r>
  <r>
    <x v="5"/>
    <x v="159"/>
    <n v="121.19221914747791"/>
    <m/>
    <n v="121.19221914747791"/>
    <n v="206.80347756912036"/>
    <n v="44.432414628996099"/>
    <n v="921"/>
    <s v=""/>
    <n v="1076"/>
    <n v="1079"/>
    <n v="180.84351734704947"/>
    <n v="59.651298199571556"/>
    <n v="85.611258421642447"/>
    <n v="76.759804518481815"/>
  </r>
  <r>
    <x v="5"/>
    <x v="160"/>
    <n v="1.5743470324030682"/>
    <m/>
    <n v="1.5743470324030682"/>
    <n v="122.16377410822599"/>
    <n v="47.46097540176055"/>
    <n v="921"/>
    <s v=""/>
    <n v="1076"/>
    <n v="1080"/>
    <n v="77.456687285594214"/>
    <n v="75.882340253191146"/>
    <n v="120.58942707582293"/>
    <n v="45.886628369357481"/>
  </r>
  <r>
    <x v="5"/>
    <x v="161"/>
    <n v="203.66093926450941"/>
    <m/>
    <n v="203.66093926450941"/>
    <n v="112.86450609326664"/>
    <n v="48.804982790817881"/>
    <n v="921"/>
    <s v=""/>
    <n v="1076"/>
    <n v="1081"/>
    <n v="61.662092380378667"/>
    <n v="141.99884688413073"/>
    <n v="90.796433171242768"/>
    <n v="154.85595647369152"/>
  </r>
  <r>
    <x v="5"/>
    <x v="162"/>
    <n v="128.68419077192397"/>
    <m/>
    <n v="128.68419077192397"/>
    <n v="62.517080700515685"/>
    <n v="100.4274231738072"/>
    <n v="921"/>
    <s v=""/>
    <n v="1076"/>
    <n v="1082"/>
    <n v="75.465328836250862"/>
    <n v="53.218861935673104"/>
    <n v="66.167110071408274"/>
    <n v="28.256767598116767"/>
  </r>
  <r>
    <x v="5"/>
    <x v="163"/>
    <n v="161.73518487670859"/>
    <m/>
    <n v="161.73518487670859"/>
    <n v="126.43224450227142"/>
    <n v="128.45217034667468"/>
    <n v="921"/>
    <s v=""/>
    <n v="1076"/>
    <n v="1083"/>
    <n v="112.58085210067034"/>
    <n v="49.154332776038245"/>
    <n v="35.302940374437171"/>
    <n v="33.28301453003391"/>
  </r>
  <r>
    <x v="5"/>
    <x v="164"/>
    <n v="160.82615554265871"/>
    <m/>
    <n v="160.82615554265871"/>
    <n v="80.686848577983667"/>
    <n v="103.70326035559874"/>
    <n v="921"/>
    <s v=""/>
    <n v="1076"/>
    <n v="1084"/>
    <n v="45.719819516109766"/>
    <n v="115.10633602654895"/>
    <n v="80.139306964675043"/>
    <n v="57.122895187059967"/>
  </r>
  <r>
    <x v="5"/>
    <x v="165"/>
    <n v="138.47636898049785"/>
    <m/>
    <n v="138.47636898049785"/>
    <n v="119.61657985134617"/>
    <n v="138.80065232212448"/>
    <n v="921"/>
    <s v=""/>
    <n v="1076"/>
    <n v="1085"/>
    <n v="121.54802392616413"/>
    <n v="16.928345054333718"/>
    <n v="18.859789129151679"/>
    <n v="0.32428334162662509"/>
  </r>
  <r>
    <x v="5"/>
    <x v="166"/>
    <n v="152.27207993759663"/>
    <m/>
    <n v="152.27207993759663"/>
    <n v="59.224409182287602"/>
    <n v="113.77792405407858"/>
    <n v="921"/>
    <s v=""/>
    <n v="1076"/>
    <n v="1086"/>
    <n v="30.696971047990637"/>
    <n v="121.57510888960599"/>
    <n v="93.047670755309028"/>
    <n v="38.494155883518047"/>
  </r>
  <r>
    <x v="5"/>
    <x v="167"/>
    <n v="137.33014786320715"/>
    <m/>
    <n v="137.33014786320715"/>
    <n v="145.57274273913396"/>
    <n v="123.91366548638626"/>
    <n v="921"/>
    <s v=""/>
    <n v="1076"/>
    <n v="1087"/>
    <n v="162.02081242579231"/>
    <n v="24.69066456258517"/>
    <n v="8.2425948759268124"/>
    <n v="13.416482376820881"/>
  </r>
  <r>
    <x v="5"/>
    <x v="168"/>
    <n v="56.309114857608265"/>
    <m/>
    <n v="56.309114857608265"/>
    <n v="81.540449675917387"/>
    <n v="163.72661761395017"/>
    <n v="921"/>
    <s v=""/>
    <n v="1076"/>
    <n v="1088"/>
    <n v="46.857959785986097"/>
    <n v="9.4511550716221677"/>
    <n v="25.231334818309122"/>
    <n v="107.4175027563419"/>
  </r>
  <r>
    <x v="5"/>
    <x v="169"/>
    <n v="147.43391627659702"/>
    <m/>
    <n v="147.43391627659702"/>
    <n v="134.57217272044355"/>
    <n v="147.43047504294731"/>
    <n v="921"/>
    <s v=""/>
    <n v="1076"/>
    <n v="1089"/>
    <n v="188.76557588923657"/>
    <n v="41.331659612639555"/>
    <n v="12.861743556153471"/>
    <n v="3.4412336497098295E-3"/>
  </r>
  <r>
    <x v="5"/>
    <x v="170"/>
    <n v="199.73229943405818"/>
    <m/>
    <n v="199.73229943405818"/>
    <n v="106.10128831790698"/>
    <n v="153.32744733436544"/>
    <n v="921"/>
    <s v=""/>
    <n v="1076"/>
    <n v="1090"/>
    <n v="110.68281099263535"/>
    <n v="89.049488441422824"/>
    <n v="93.6310111161512"/>
    <n v="46.404852099692732"/>
  </r>
  <r>
    <x v="5"/>
    <x v="171"/>
    <n v="121.91668154250699"/>
    <m/>
    <n v="121.91668154250699"/>
    <n v="118.39036195049225"/>
    <n v="147.22618808099008"/>
    <n v="921"/>
    <s v=""/>
    <n v="1076"/>
    <n v="1091"/>
    <n v="70.113072396579781"/>
    <n v="51.803609145927211"/>
    <n v="3.5263195920147439"/>
    <n v="25.309506538483092"/>
  </r>
  <r>
    <x v="5"/>
    <x v="172"/>
    <n v="184.93383714804719"/>
    <m/>
    <n v="184.93383714804719"/>
    <n v="130.76540555551935"/>
    <n v="121.09692790972747"/>
    <n v="921"/>
    <s v=""/>
    <n v="1076"/>
    <n v="1092"/>
    <n v="191.47953027954159"/>
    <n v="6.5456931314944029"/>
    <n v="54.168431592527838"/>
    <n v="63.83690923831972"/>
  </r>
  <r>
    <x v="5"/>
    <x v="173"/>
    <n v="167.52268897742539"/>
    <m/>
    <n v="167.52268897742539"/>
    <n v="132.24061789746287"/>
    <n v="123.33631473375227"/>
    <n v="921"/>
    <s v=""/>
    <n v="1076"/>
    <n v="1093"/>
    <n v="39.396220610891532"/>
    <n v="128.12646836653386"/>
    <n v="35.28207107996252"/>
    <n v="44.186374243673114"/>
  </r>
  <r>
    <x v="5"/>
    <x v="174"/>
    <n v="253.54069458268509"/>
    <m/>
    <n v="253.54069458268509"/>
    <n v="196.40941245185707"/>
    <n v="135.20136960786766"/>
    <n v="921"/>
    <s v=""/>
    <n v="1076"/>
    <n v="1094"/>
    <n v="98.498339940065918"/>
    <n v="155.04235464261916"/>
    <n v="57.131282130828026"/>
    <n v="118.33932497481743"/>
  </r>
  <r>
    <x v="5"/>
    <x v="175"/>
    <n v="124.92264520705429"/>
    <m/>
    <n v="124.92264520705429"/>
    <n v="159.25274114000334"/>
    <n v="131.34800302769261"/>
    <n v="921"/>
    <s v=""/>
    <n v="1076"/>
    <n v="1095"/>
    <n v="144.50388838627285"/>
    <n v="19.581243179218561"/>
    <n v="34.33009593294905"/>
    <n v="6.4253578206383253"/>
  </r>
  <r>
    <x v="5"/>
    <x v="176"/>
    <n v="131.80339689081902"/>
    <m/>
    <n v="131.80339689081902"/>
    <n v="113.35920485629855"/>
    <n v="163.50418360030233"/>
    <n v="921"/>
    <s v=""/>
    <n v="1076"/>
    <n v="1096"/>
    <n v="122.9767844099545"/>
    <n v="8.8266124808645117"/>
    <n v="18.444192034520469"/>
    <n v="31.70078670948331"/>
  </r>
  <r>
    <x v="5"/>
    <x v="177"/>
    <n v="136.2826869864561"/>
    <m/>
    <n v="136.2826869864561"/>
    <n v="89.042272645791329"/>
    <n v="168.52637677550945"/>
    <n v="921"/>
    <s v=""/>
    <n v="1076"/>
    <n v="1097"/>
    <n v="4.8040699197675565"/>
    <n v="131.47861706668854"/>
    <n v="47.240414340664771"/>
    <n v="32.243689789053349"/>
  </r>
  <r>
    <x v="5"/>
    <x v="178"/>
    <n v="139.28592952046685"/>
    <m/>
    <n v="139.28592952046685"/>
    <n v="132.76600355010152"/>
    <n v="181.97847556266618"/>
    <n v="921"/>
    <s v=""/>
    <n v="1076"/>
    <n v="1098"/>
    <n v="55.596284816853469"/>
    <n v="83.689644703613382"/>
    <n v="6.5199259703653354"/>
    <n v="42.692546042199325"/>
  </r>
  <r>
    <x v="5"/>
    <x v="179"/>
    <n v="16.820500064940859"/>
    <m/>
    <n v="16.820500064940859"/>
    <n v="114.527613469128"/>
    <n v="182.72996647880299"/>
    <n v="921"/>
    <s v=""/>
    <n v="1076"/>
    <n v="1099"/>
    <n v="146.87886003054552"/>
    <n v="130.05835996560467"/>
    <n v="97.70711340418714"/>
    <n v="165.90946641386213"/>
  </r>
  <r>
    <x v="5"/>
    <x v="180"/>
    <n v="103.07074599538623"/>
    <m/>
    <n v="103.07074599538623"/>
    <n v="121.63418437587974"/>
    <n v="169.44735641449594"/>
    <n v="921"/>
    <s v=""/>
    <n v="1076"/>
    <n v="1100"/>
    <n v="39.312406265872021"/>
    <n v="63.758339729514212"/>
    <n v="18.563438380493508"/>
    <n v="66.37661041910971"/>
  </r>
  <r>
    <x v="5"/>
    <x v="181"/>
    <n v="178.49291026738157"/>
    <m/>
    <n v="178.49291026738157"/>
    <n v="134.42549843209525"/>
    <n v="161.63735591675362"/>
    <n v="921"/>
    <s v=""/>
    <n v="1076"/>
    <n v="1101"/>
    <n v="132.68662602109268"/>
    <n v="45.806284246288897"/>
    <n v="44.067411835286322"/>
    <n v="16.8555543506279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F8C6DD-64C8-4AB2-9856-FDD6152D9D2A}" name="ets_test_and_training_chart" cacheId="277"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chartFormat="3">
  <location ref="A9:F192" firstHeaderRow="1" firstDataRow="2" firstDataCol="1"/>
  <pivotFields count="15">
    <pivotField compact="0" outline="0" subtotalTop="0" showAll="0" defaultSubtotal="0">
      <items count="6">
        <item h="1" x="0"/>
        <item h="1" x="1"/>
        <item h="1" x="2"/>
        <item h="1" x="3"/>
        <item h="1" x="4"/>
        <item x="5"/>
      </items>
    </pivotField>
    <pivotField axis="axisRow" compact="0" numFmtId="14" outline="0" subtotalTop="0" showAll="0" defaultSubtotal="0">
      <items count="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s>
    </pivotField>
    <pivotField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1"/>
  </rowFields>
  <rowItems count="18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rowItems>
  <colFields count="1">
    <field x="-2"/>
  </colFields>
  <colItems count="5">
    <i>
      <x/>
    </i>
    <i i="1">
      <x v="1"/>
    </i>
    <i i="2">
      <x v="2"/>
    </i>
    <i i="3">
      <x v="3"/>
    </i>
    <i i="4">
      <x v="4"/>
    </i>
  </colItems>
  <dataFields count="5">
    <dataField name="Sum of demand_quantity" fld="3" baseField="0" baseItem="0"/>
    <dataField name="Sum of actual_quantity" fld="4" baseField="0" baseItem="0"/>
    <dataField name="Sum of excel_ets" fld="11" baseField="0" baseItem="0"/>
    <dataField name="Sum of statsmodel_forecast" fld="5" baseField="0" baseItem="0"/>
    <dataField name="Sum of moving_average" fld="6" baseField="0" baseItem="0"/>
  </dataFields>
  <chartFormats count="5">
    <chartFormat chart="1"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1"/>
          </reference>
        </references>
      </pivotArea>
    </chartFormat>
    <chartFormat chart="1" format="4" series="1">
      <pivotArea type="data" outline="0" fieldPosition="0">
        <references count="1">
          <reference field="4294967294" count="1" selected="0">
            <x v="3"/>
          </reference>
        </references>
      </pivotArea>
    </chartFormat>
    <chartFormat chart="1" format="6"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02928E-BA33-4A0F-B0A1-AC5546018646}" name="ets_forecast_error" cacheId="277"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chartFormat="3">
  <location ref="A9:D16" firstHeaderRow="1" firstDataRow="2" firstDataCol="1"/>
  <pivotFields count="15">
    <pivotField axis="axisRow" compact="0" outline="0" subtotalTop="0" showAll="0" sortType="ascending" defaultSubtotal="0">
      <items count="6">
        <item x="0"/>
        <item x="1"/>
        <item x="2"/>
        <item x="3"/>
        <item x="4"/>
        <item x="5"/>
      </items>
    </pivotField>
    <pivotField compact="0" numFmtId="14"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6">
    <i>
      <x/>
    </i>
    <i>
      <x v="1"/>
    </i>
    <i>
      <x v="2"/>
    </i>
    <i>
      <x v="3"/>
    </i>
    <i>
      <x v="4"/>
    </i>
    <i>
      <x v="5"/>
    </i>
  </rowItems>
  <colFields count="1">
    <field x="-2"/>
  </colFields>
  <colItems count="3">
    <i>
      <x/>
    </i>
    <i i="1">
      <x v="1"/>
    </i>
    <i i="2">
      <x v="2"/>
    </i>
  </colItems>
  <dataFields count="3">
    <dataField name="Average of excel_ets_ae" fld="12" subtotal="average" baseField="0" baseItem="0"/>
    <dataField name="Average of statsmodels_ets_ae" fld="13" subtotal="average" baseField="0" baseItem="0"/>
    <dataField name="Average of moving_average_ae" fld="14" subtotal="average" baseField="0" baseItem="0"/>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67"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AC32C42B-3026-4ED7-840C-2025A64E0847}" autoFormatId="16" applyNumberFormats="0" applyBorderFormats="0" applyFontFormats="0" applyPatternFormats="0" applyAlignmentFormats="0" applyWidthHeightFormats="0">
  <queryTableRefresh nextId="5" unboundColumnsRight="1">
    <queryTableFields count="4">
      <queryTableField id="1" name="item" tableColumnId="1"/>
      <queryTableField id="2" name="period" tableColumnId="2"/>
      <queryTableField id="3" name="quantity" tableColumnId="3"/>
      <queryTableField id="4" dataBound="0"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D83E49DF-2B7A-4EB2-B401-87399C1DFB5B}" autoFormatId="16" applyNumberFormats="0" applyBorderFormats="0" applyFontFormats="0" applyPatternFormats="0" applyAlignmentFormats="0" applyWidthHeightFormats="0">
  <queryTableRefresh nextId="5" unboundColumnsRight="1">
    <queryTableFields count="4">
      <queryTableField id="1" name="item" tableColumnId="1"/>
      <queryTableField id="2" name="period" tableColumnId="2"/>
      <queryTableField id="3" name="quantity"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07763AD-B2D8-4D53-8772-16036A050BB0}" autoFormatId="16" applyNumberFormats="0" applyBorderFormats="0" applyFontFormats="0" applyPatternFormats="0" applyAlignmentFormats="0" applyWidthHeightFormats="0">
  <queryTableRefresh nextId="5" unboundColumnsRight="1">
    <queryTableFields count="4">
      <queryTableField id="1" name="item" tableColumnId="1"/>
      <queryTableField id="2" name="period" tableColumnId="2"/>
      <queryTableField id="3" name="forecast_quantity" tableColumnId="3"/>
      <queryTableField id="4" dataBound="0"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 xr16:uid="{2BFF4B66-9EA6-4092-943B-4A19E33A3801}" autoFormatId="16" applyNumberFormats="0" applyBorderFormats="0" applyFontFormats="0" applyPatternFormats="0" applyAlignmentFormats="0" applyWidthHeightFormats="0">
  <queryTableRefresh nextId="17" unboundColumnsRight="9">
    <queryTableFields count="15">
      <queryTableField id="1" name="item" tableColumnId="1"/>
      <queryTableField id="2" name="period" tableColumnId="2"/>
      <queryTableField id="3" name="quantity" tableColumnId="3"/>
      <queryTableField id="4" name="demand_quantity" tableColumnId="4"/>
      <queryTableField id="10" name="actual_quantity" tableColumnId="10"/>
      <queryTableField id="11" name="statsmodel_forecast" tableColumnId="11"/>
      <queryTableField id="14" dataBound="0" tableColumnId="14"/>
      <queryTableField id="6" dataBound="0" tableColumnId="6"/>
      <queryTableField id="7" dataBound="0" tableColumnId="7"/>
      <queryTableField id="8" dataBound="0" tableColumnId="8"/>
      <queryTableField id="16" dataBound="0" tableColumnId="16"/>
      <queryTableField id="9" dataBound="0" tableColumnId="9"/>
      <queryTableField id="12" dataBound="0" tableColumnId="12"/>
      <queryTableField id="13" dataBound="0" tableColumnId="13"/>
      <queryTableField id="15" dataBound="0" tableColumnId="1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8F905549-D121-4407-B922-D4566324BA9E}" autoFormatId="16" applyNumberFormats="0" applyBorderFormats="0" applyFontFormats="0" applyPatternFormats="0" applyAlignmentFormats="0" applyWidthHeightFormats="0">
  <queryTableRefresh nextId="5">
    <queryTableFields count="4">
      <queryTableField id="1" name="item" tableColumnId="1"/>
      <queryTableField id="2" name="period" tableColumnId="2"/>
      <queryTableField id="3" name="forecast_quantity" tableColumnId="3"/>
      <queryTableField id="4" name="statsmodel_forecas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44FE7761-55D3-45D2-B9D7-2C517898E797}" sourceName="item">
  <pivotTables>
    <pivotTable tabId="29" name="ets_test_and_training_chart"/>
  </pivotTables>
  <data>
    <tabular pivotCacheId="1443500944">
      <items count="6">
        <i x="0"/>
        <i x="1"/>
        <i x="2"/>
        <i x="3"/>
        <i x="4"/>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xr10:uid="{B329936A-41E7-4C32-86A6-00B95741C163}" cache="Slicer_item" caption="item"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DC4731-49F6-4EDD-A209-1E3F0A1E775F}" name="ets_training_data" displayName="ets_training_data" ref="A10:D946" tableType="queryTable" totalsRowShown="0" headerRowDxfId="30" headerRowCellStyle="Normal 4" dataCellStyle="Normal 4">
  <autoFilter ref="A10:D946" xr:uid="{C6DC4731-49F6-4EDD-A209-1E3F0A1E775F}"/>
  <tableColumns count="4">
    <tableColumn id="1" xr3:uid="{DE4254A2-60B5-4C20-88B6-1F8DEFD3E733}" uniqueName="1" name="item" queryTableFieldId="1" dataDxfId="23" dataCellStyle="Normal 4"/>
    <tableColumn id="2" xr3:uid="{179155E3-6886-4D7D-B597-0C2F2D4A6935}" uniqueName="2" name="period" queryTableFieldId="2" dataDxfId="22" dataCellStyle="Normal 4"/>
    <tableColumn id="3" xr3:uid="{2D9CF70D-A9B1-4FA4-A18A-B69EE56F13A7}" uniqueName="3" name="quantity" queryTableFieldId="3" dataDxfId="21" dataCellStyle="Normal 4"/>
    <tableColumn id="4" xr3:uid="{44DB8A31-4547-413A-BF41-90898E95D432}" uniqueName="4" name="demand_quantity" queryTableFieldId="4" dataDxfId="20"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D9AE24-1B8E-4E9F-8C7B-BE2E09089325}" name="ets_test_data" displayName="ets_test_data" ref="A10:D166" tableType="queryTable" totalsRowShown="0" headerRowDxfId="31" headerRowCellStyle="Normal 4" dataCellStyle="Normal 4">
  <autoFilter ref="A10:D166" xr:uid="{DED9AE24-1B8E-4E9F-8C7B-BE2E09089325}"/>
  <tableColumns count="4">
    <tableColumn id="1" xr3:uid="{C7C87A26-D550-4C58-B94B-E97CA8C69DB2}" uniqueName="1" name="item" queryTableFieldId="1" dataDxfId="19" dataCellStyle="Normal 4"/>
    <tableColumn id="2" xr3:uid="{C14E2C21-9339-4DA2-B9EF-41E2B21F9818}" uniqueName="2" name="period" queryTableFieldId="2" dataDxfId="18" dataCellStyle="Normal 4"/>
    <tableColumn id="3" xr3:uid="{627E28D3-DEB5-4BC5-B1E7-F17444989BE3}" uniqueName="3" name="quantity" queryTableFieldId="3" dataDxfId="17" dataCellStyle="Normal 4"/>
    <tableColumn id="4" xr3:uid="{42252120-E6E5-4457-9029-7E2517980C84}" uniqueName="4" name="actual_quantity" queryTableFieldId="4" dataDxfId="16" dataCellStyle="Normal 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728B6C-13AA-4707-A551-17FE742C896C}" name="ets_forecast_data" displayName="ets_forecast_data" ref="A10:D166" tableType="queryTable" totalsRowShown="0" headerRowDxfId="28" headerRowCellStyle="Normal 4" dataCellStyle="Normal 4">
  <autoFilter ref="A10:D166" xr:uid="{66728B6C-13AA-4707-A551-17FE742C896C}"/>
  <tableColumns count="4">
    <tableColumn id="1" xr3:uid="{41A94BF9-FFEB-49CC-81D4-A5E2E7F5F754}" uniqueName="1" name="item" queryTableFieldId="1" dataDxfId="15" dataCellStyle="Normal 4"/>
    <tableColumn id="2" xr3:uid="{B7FF0751-F79D-4E62-9E9A-EF7586A94357}" uniqueName="2" name="period" queryTableFieldId="2" dataDxfId="14" dataCellStyle="Normal 4"/>
    <tableColumn id="3" xr3:uid="{2414F92B-356D-44FB-AF36-602C2B06A865}" uniqueName="3" name="forecast_quantity" queryTableFieldId="3" dataDxfId="13" dataCellStyle="Normal 4"/>
    <tableColumn id="4" xr3:uid="{23BE3BDA-248E-40AE-981D-C690DC726AD9}" uniqueName="4" name="statsmodel_forecast" queryTableFieldId="4" dataDxfId="12" dataCellStyle="Normal 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E25E81-F382-45E0-A422-7D0EC696D6DD}" name="ets_test_and_training_data" displayName="ets_test_and_training_data" ref="A10:O1102" tableType="queryTable" totalsRowShown="0" headerRowDxfId="29" headerRowCellStyle="Normal 4" dataCellStyle="Normal 4">
  <autoFilter ref="A10:O1102" xr:uid="{8BE25E81-F382-45E0-A422-7D0EC696D6DD}"/>
  <tableColumns count="15">
    <tableColumn id="1" xr3:uid="{18008696-7E21-42D4-84BE-87C4AA68DCDC}" uniqueName="1" name="item" queryTableFieldId="1" dataDxfId="11" dataCellStyle="Normal 4"/>
    <tableColumn id="2" xr3:uid="{5219E304-0D24-4542-AC84-DAD519E927DF}" uniqueName="2" name="period" queryTableFieldId="2" dataDxfId="10" dataCellStyle="Normal 4"/>
    <tableColumn id="3" xr3:uid="{FB7639BA-F893-46B1-A1CB-1B2A8E37380F}" uniqueName="3" name="quantity" queryTableFieldId="3" dataDxfId="9" dataCellStyle="Normal 4"/>
    <tableColumn id="4" xr3:uid="{C71D3846-1110-444C-9881-8F10CC1318BF}" uniqueName="4" name="demand_quantity" queryTableFieldId="4" dataDxfId="8" dataCellStyle="Normal 4"/>
    <tableColumn id="10" xr3:uid="{059A2599-D511-4920-9391-DBB233014CA5}" uniqueName="10" name="actual_quantity" queryTableFieldId="10"/>
    <tableColumn id="11" xr3:uid="{F8C85435-94E8-4492-B703-A379174B39E5}" uniqueName="11" name="statsmodel_forecast" queryTableFieldId="11"/>
    <tableColumn id="14" xr3:uid="{7B83CB4B-9758-4F61-9677-750A11DBA0EC}" uniqueName="14" name="moving_average" queryTableFieldId="14"/>
    <tableColumn id="6" xr3:uid="{D51E0C7A-1E14-4DBC-A4D3-8A2A42916253}" uniqueName="6" name="FirstRow" queryTableFieldId="6" dataDxfId="7" dataCellStyle="Normal 4"/>
    <tableColumn id="7" xr3:uid="{E128D03E-3E3E-46AF-B8CC-79279FFB90B9}" uniqueName="7" name="RowCount" queryTableFieldId="7" dataDxfId="6" dataCellStyle="Normal 4"/>
    <tableColumn id="8" xr3:uid="{E6B199B8-0CF3-4906-88DB-553EAF4EB6F0}" uniqueName="8" name="LastRow" queryTableFieldId="8" dataDxfId="5" dataCellStyle="Normal 4"/>
    <tableColumn id="16" xr3:uid="{4D62D91D-3D28-4091-8276-38F4BD045286}" uniqueName="16" name="PrevPeriodRow" queryTableFieldId="16" dataDxfId="4" dataCellStyle="Normal 4"/>
    <tableColumn id="9" xr3:uid="{43728D36-A106-4878-B427-3812C8DE8EA5}" uniqueName="9" name="excel_ets" queryTableFieldId="9" dataDxfId="3" dataCellStyle="Normal 4"/>
    <tableColumn id="12" xr3:uid="{C9C860F0-B9BA-4DC3-BF91-AD0849B682A6}" uniqueName="12" name="excel_ets_ae" queryTableFieldId="12" dataDxfId="2" dataCellStyle="Normal 4"/>
    <tableColumn id="13" xr3:uid="{C600A414-BFB0-4F23-9200-2256D04FA829}" uniqueName="13" name="statsmodels_ets_ae" queryTableFieldId="13" dataDxfId="1" dataCellStyle="Normal 4"/>
    <tableColumn id="15" xr3:uid="{06AD3A8D-86F1-4070-9F12-264F51648049}" uniqueName="15" name="moving_average_ae" queryTableFieldId="15" dataDxfId="0" dataCellStyle="Normal 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2346428-C357-4D3F-8C15-914656B36F2B}" name="ets_forecast_data_table_1" displayName="ets_forecast_data_table_1" ref="A1:D157" tableType="queryTable" totalsRowShown="0">
  <autoFilter ref="A1:D157" xr:uid="{92346428-C357-4D3F-8C15-914656B36F2B}"/>
  <tableColumns count="4">
    <tableColumn id="1" xr3:uid="{6904EF9E-4453-452E-A9DA-FEA2E6B994A7}" uniqueName="1" name="item" queryTableFieldId="1" dataDxfId="27"/>
    <tableColumn id="2" xr3:uid="{A8759324-80AE-4A5F-9CC3-2746B4322199}" uniqueName="2" name="period" queryTableFieldId="2" dataDxfId="26"/>
    <tableColumn id="3" xr3:uid="{63C9AFEF-12FC-4173-B9C0-4BAD815E556C}" uniqueName="3" name="forecast_quantity" queryTableFieldId="3"/>
    <tableColumn id="4" xr3:uid="{04FE9CA1-E40F-4CF0-85D5-DAB53160B17B}" uniqueName="4" name="statsmodel_forecast"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3526B8E5-EA75-4B7F-802D-1F65201C8C21}">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2.xml><?xml version="1.0" encoding="utf-8"?>
<we:webextension xmlns:we="http://schemas.microsoft.com/office/webextensions/webextension/2010/11" id="{C4B54C52-8C47-4060-A97D-2B824FB6C50D}">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C8A84EE5-F6DA-4AD9-9DC4-CBD4C643520E}">
  <we:reference id="d15e6a4d-1cac-4da5-8ade-940cb2566ef9" version="1.0.0.0" store="EXCatalog" storeType="EXCatalog"/>
  <we:alternateReferences>
    <we:reference id="WA200008175" version="1.0.0.0" store=""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ebextensions/webextension4.xml><?xml version="1.0" encoding="utf-8"?>
<we:webextension xmlns:we="http://schemas.microsoft.com/office/webextensions/webextension/2010/11" id="{7583161C-0D93-4717-A6DA-57D58E27C65B}">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microsoft.com/office/2007/relationships/slicer" Target="../slicers/slicer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pivotTable" Target="../pivotTables/pivotTable2.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pivotTable" Target="../pivotTables/pivotTable3.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zoomScaleNormal="100" workbookViewId="0">
      <selection activeCell="F4" sqref="F4"/>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61" t="s">
        <v>175</v>
      </c>
      <c r="B7" s="1"/>
      <c r="D7" s="24"/>
    </row>
    <row r="8" spans="1:5" ht="15.5" x14ac:dyDescent="0.35">
      <c r="A8" s="25"/>
    </row>
    <row r="9" spans="1:5" x14ac:dyDescent="0.35">
      <c r="B9" s="1"/>
      <c r="C9"/>
    </row>
    <row r="10" spans="1:5" s="5" customFormat="1" x14ac:dyDescent="0.35">
      <c r="A10" s="46" t="s">
        <v>1</v>
      </c>
      <c r="B10" s="47" t="s">
        <v>143</v>
      </c>
      <c r="C10"/>
      <c r="D10" s="2"/>
      <c r="E10" s="2"/>
    </row>
    <row r="11" spans="1:5" x14ac:dyDescent="0.35">
      <c r="A11" s="46" t="s">
        <v>2</v>
      </c>
      <c r="B11" s="51">
        <v>45859.488958333335</v>
      </c>
      <c r="C11"/>
    </row>
    <row r="12" spans="1:5" x14ac:dyDescent="0.35">
      <c r="A12" s="52" t="s">
        <v>3</v>
      </c>
      <c r="B12" s="51">
        <v>45859.488981481481</v>
      </c>
      <c r="C12"/>
      <c r="D12" s="26"/>
    </row>
    <row r="13" spans="1:5" x14ac:dyDescent="0.35">
      <c r="A13" s="52" t="s">
        <v>4</v>
      </c>
      <c r="B13" s="51">
        <v>2.314814628334716E-5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45511.330243055556</v>
      </c>
    </row>
    <row r="24" spans="1:5" x14ac:dyDescent="0.35">
      <c r="A24" s="48"/>
      <c r="C24" s="6" t="s">
        <v>7</v>
      </c>
      <c r="D24" s="7">
        <v>45859.488981481481</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Auto_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Auto_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2.314814628334716E-5</v>
      </c>
    </row>
    <row r="12" spans="1:24" x14ac:dyDescent="0.35">
      <c r="A12" s="8" t="s">
        <v>9</v>
      </c>
      <c r="B12" s="8" t="s">
        <v>144</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C:\P-S_Test\Archive</v>
      </c>
    </row>
    <row r="14" spans="1:24" x14ac:dyDescent="0.35">
      <c r="A14" s="8" t="s">
        <v>10</v>
      </c>
      <c r="B14" s="8" t="s">
        <v>143</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C:\P-S_Test\Input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C:\P-S_Test</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873FD-5021-4FAE-B02E-6C276DEE48BB}">
  <sheetPr codeName="Sheet052">
    <tabColor rgb="FF2ECC71"/>
  </sheetPr>
  <dimension ref="A1:P946"/>
  <sheetViews>
    <sheetView zoomScaleNormal="100" workbookViewId="0">
      <pane ySplit="10" topLeftCell="A143" activePane="bottomLeft" state="frozen"/>
      <selection activeCell="A10" sqref="A10"/>
      <selection pane="bottomLeft" activeCell="D11" sqref="D11:D946"/>
    </sheetView>
  </sheetViews>
  <sheetFormatPr defaultColWidth="12.6328125" defaultRowHeight="14.5" x14ac:dyDescent="0.35"/>
  <cols>
    <col min="1" max="1" width="25.54296875" style="8" bestFit="1" customWidth="1"/>
    <col min="2" max="2" width="10.08984375" style="8" bestFit="1" customWidth="1"/>
    <col min="3" max="3" width="11.81640625" style="8" bestFit="1" customWidth="1"/>
    <col min="4" max="4" width="18.1796875" style="8" bestFit="1" customWidth="1"/>
    <col min="5"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c r="D8" s="8">
        <f>C8</f>
        <v>0</v>
      </c>
    </row>
    <row r="9" spans="1:16" ht="5.15" customHeight="1" x14ac:dyDescent="0.35"/>
    <row r="10" spans="1:16" s="13" customFormat="1" x14ac:dyDescent="0.35">
      <c r="A10" s="14" t="s">
        <v>148</v>
      </c>
      <c r="B10" s="14" t="s">
        <v>149</v>
      </c>
      <c r="C10" s="14" t="s">
        <v>150</v>
      </c>
      <c r="D10" s="14" t="s">
        <v>151</v>
      </c>
      <c r="E10" s="55"/>
      <c r="F10" s="55"/>
      <c r="G10" s="55"/>
      <c r="H10" s="55"/>
      <c r="I10" s="55"/>
      <c r="J10" s="55"/>
      <c r="K10" s="55"/>
      <c r="L10" s="55"/>
      <c r="M10" s="55"/>
    </row>
    <row r="11" spans="1:16" x14ac:dyDescent="0.35">
      <c r="A11" s="59" t="s">
        <v>181</v>
      </c>
      <c r="B11" s="60">
        <v>44570</v>
      </c>
      <c r="C11" s="54">
        <v>100</v>
      </c>
      <c r="D11" s="54">
        <v>100</v>
      </c>
    </row>
    <row r="12" spans="1:16" x14ac:dyDescent="0.35">
      <c r="A12" s="59" t="s">
        <v>181</v>
      </c>
      <c r="B12" s="60">
        <v>44577</v>
      </c>
      <c r="C12" s="54">
        <v>102.41073360510646</v>
      </c>
      <c r="D12" s="54">
        <v>102.41073360510646</v>
      </c>
    </row>
    <row r="13" spans="1:16" x14ac:dyDescent="0.35">
      <c r="A13" s="59" t="s">
        <v>181</v>
      </c>
      <c r="B13" s="60">
        <v>44584</v>
      </c>
      <c r="C13" s="54">
        <v>104.78631328575115</v>
      </c>
      <c r="D13" s="54">
        <v>104.78631328575115</v>
      </c>
    </row>
    <row r="14" spans="1:16" x14ac:dyDescent="0.35">
      <c r="A14" s="59" t="s">
        <v>181</v>
      </c>
      <c r="B14" s="60">
        <v>44591</v>
      </c>
      <c r="C14" s="54">
        <v>107.09209774085072</v>
      </c>
      <c r="D14" s="54">
        <v>107.09209774085072</v>
      </c>
    </row>
    <row r="15" spans="1:16" x14ac:dyDescent="0.35">
      <c r="A15" s="59" t="s">
        <v>181</v>
      </c>
      <c r="B15" s="60">
        <v>44598</v>
      </c>
      <c r="C15" s="54">
        <v>109.29446344087538</v>
      </c>
      <c r="D15" s="54">
        <v>109.29446344087538</v>
      </c>
    </row>
    <row r="16" spans="1:16" x14ac:dyDescent="0.35">
      <c r="A16" s="59" t="s">
        <v>181</v>
      </c>
      <c r="B16" s="60">
        <v>44605</v>
      </c>
      <c r="C16" s="54">
        <v>111.36129493462312</v>
      </c>
      <c r="D16" s="54">
        <v>111.36129493462312</v>
      </c>
    </row>
    <row r="17" spans="1:4" x14ac:dyDescent="0.35">
      <c r="A17" s="59" t="s">
        <v>181</v>
      </c>
      <c r="B17" s="60">
        <v>44612</v>
      </c>
      <c r="C17" s="54">
        <v>113.26245316481591</v>
      </c>
      <c r="D17" s="54">
        <v>113.26245316481591</v>
      </c>
    </row>
    <row r="18" spans="1:4" x14ac:dyDescent="0.35">
      <c r="A18" s="59" t="s">
        <v>181</v>
      </c>
      <c r="B18" s="60">
        <v>44619</v>
      </c>
      <c r="C18" s="54">
        <v>114.97021496342202</v>
      </c>
      <c r="D18" s="54">
        <v>114.97021496342202</v>
      </c>
    </row>
    <row r="19" spans="1:4" x14ac:dyDescent="0.35">
      <c r="A19" s="59" t="s">
        <v>181</v>
      </c>
      <c r="B19" s="60">
        <v>44626</v>
      </c>
      <c r="C19" s="54">
        <v>116.45967731787313</v>
      </c>
      <c r="D19" s="54">
        <v>116.45967731787313</v>
      </c>
    </row>
    <row r="20" spans="1:4" x14ac:dyDescent="0.35">
      <c r="A20" s="59" t="s">
        <v>181</v>
      </c>
      <c r="B20" s="60">
        <v>44633</v>
      </c>
      <c r="C20" s="54">
        <v>117.70912051306419</v>
      </c>
      <c r="D20" s="54">
        <v>117.70912051306419</v>
      </c>
    </row>
    <row r="21" spans="1:4" x14ac:dyDescent="0.35">
      <c r="A21" s="59" t="s">
        <v>181</v>
      </c>
      <c r="B21" s="60">
        <v>44640</v>
      </c>
      <c r="C21" s="54">
        <v>118.7003248537083</v>
      </c>
      <c r="D21" s="54">
        <v>118.7003248537083</v>
      </c>
    </row>
    <row r="22" spans="1:4" x14ac:dyDescent="0.35">
      <c r="A22" s="59" t="s">
        <v>181</v>
      </c>
      <c r="B22" s="60">
        <v>44647</v>
      </c>
      <c r="C22" s="54">
        <v>119.41883634852104</v>
      </c>
      <c r="D22" s="54">
        <v>119.41883634852104</v>
      </c>
    </row>
    <row r="23" spans="1:4" x14ac:dyDescent="0.35">
      <c r="A23" s="59" t="s">
        <v>181</v>
      </c>
      <c r="B23" s="60">
        <v>44654</v>
      </c>
      <c r="C23" s="54">
        <v>119.85417748196107</v>
      </c>
      <c r="D23" s="54">
        <v>119.85417748196107</v>
      </c>
    </row>
    <row r="24" spans="1:4" x14ac:dyDescent="0.35">
      <c r="A24" s="59" t="s">
        <v>181</v>
      </c>
      <c r="B24" s="60">
        <v>44661</v>
      </c>
      <c r="C24" s="54">
        <v>120</v>
      </c>
      <c r="D24" s="54">
        <v>120</v>
      </c>
    </row>
    <row r="25" spans="1:4" x14ac:dyDescent="0.35">
      <c r="A25" s="59" t="s">
        <v>181</v>
      </c>
      <c r="B25" s="60">
        <v>44668</v>
      </c>
      <c r="C25" s="54">
        <v>119.85417748196107</v>
      </c>
      <c r="D25" s="54">
        <v>119.85417748196107</v>
      </c>
    </row>
    <row r="26" spans="1:4" x14ac:dyDescent="0.35">
      <c r="A26" s="59" t="s">
        <v>181</v>
      </c>
      <c r="B26" s="60">
        <v>44675</v>
      </c>
      <c r="C26" s="54">
        <v>119.41883634852104</v>
      </c>
      <c r="D26" s="54">
        <v>119.41883634852104</v>
      </c>
    </row>
    <row r="27" spans="1:4" x14ac:dyDescent="0.35">
      <c r="A27" s="59" t="s">
        <v>181</v>
      </c>
      <c r="B27" s="60">
        <v>44682</v>
      </c>
      <c r="C27" s="54">
        <v>118.7003248537083</v>
      </c>
      <c r="D27" s="54">
        <v>118.7003248537083</v>
      </c>
    </row>
    <row r="28" spans="1:4" x14ac:dyDescent="0.35">
      <c r="A28" s="59" t="s">
        <v>181</v>
      </c>
      <c r="B28" s="60">
        <v>44689</v>
      </c>
      <c r="C28" s="54">
        <v>117.70912051306419</v>
      </c>
      <c r="D28" s="54">
        <v>117.70912051306419</v>
      </c>
    </row>
    <row r="29" spans="1:4" x14ac:dyDescent="0.35">
      <c r="A29" s="59" t="s">
        <v>181</v>
      </c>
      <c r="B29" s="60">
        <v>44696</v>
      </c>
      <c r="C29" s="54">
        <v>116.45967731787313</v>
      </c>
      <c r="D29" s="54">
        <v>116.45967731787313</v>
      </c>
    </row>
    <row r="30" spans="1:4" x14ac:dyDescent="0.35">
      <c r="A30" s="59" t="s">
        <v>181</v>
      </c>
      <c r="B30" s="60">
        <v>44703</v>
      </c>
      <c r="C30" s="54">
        <v>114.97021496342202</v>
      </c>
      <c r="D30" s="54">
        <v>114.97021496342202</v>
      </c>
    </row>
    <row r="31" spans="1:4" x14ac:dyDescent="0.35">
      <c r="A31" s="59" t="s">
        <v>181</v>
      </c>
      <c r="B31" s="60">
        <v>44710</v>
      </c>
      <c r="C31" s="54">
        <v>113.26245316481591</v>
      </c>
      <c r="D31" s="54">
        <v>113.26245316481591</v>
      </c>
    </row>
    <row r="32" spans="1:4" x14ac:dyDescent="0.35">
      <c r="A32" s="59" t="s">
        <v>181</v>
      </c>
      <c r="B32" s="60">
        <v>44717</v>
      </c>
      <c r="C32" s="54">
        <v>111.36129493462312</v>
      </c>
      <c r="D32" s="54">
        <v>111.36129493462312</v>
      </c>
    </row>
    <row r="33" spans="1:4" x14ac:dyDescent="0.35">
      <c r="A33" s="59" t="s">
        <v>181</v>
      </c>
      <c r="B33" s="60">
        <v>44724</v>
      </c>
      <c r="C33" s="54">
        <v>109.29446344087538</v>
      </c>
      <c r="D33" s="54">
        <v>109.29446344087538</v>
      </c>
    </row>
    <row r="34" spans="1:4" x14ac:dyDescent="0.35">
      <c r="A34" s="59" t="s">
        <v>181</v>
      </c>
      <c r="B34" s="60">
        <v>44731</v>
      </c>
      <c r="C34" s="54">
        <v>107.09209774085072</v>
      </c>
      <c r="D34" s="54">
        <v>107.09209774085072</v>
      </c>
    </row>
    <row r="35" spans="1:4" x14ac:dyDescent="0.35">
      <c r="A35" s="59" t="s">
        <v>181</v>
      </c>
      <c r="B35" s="60">
        <v>44738</v>
      </c>
      <c r="C35" s="54">
        <v>104.78631328575115</v>
      </c>
      <c r="D35" s="54">
        <v>104.78631328575115</v>
      </c>
    </row>
    <row r="36" spans="1:4" x14ac:dyDescent="0.35">
      <c r="A36" s="59" t="s">
        <v>181</v>
      </c>
      <c r="B36" s="60">
        <v>44745</v>
      </c>
      <c r="C36" s="54">
        <v>102.41073360510646</v>
      </c>
      <c r="D36" s="54">
        <v>102.41073360510646</v>
      </c>
    </row>
    <row r="37" spans="1:4" x14ac:dyDescent="0.35">
      <c r="A37" s="59" t="s">
        <v>181</v>
      </c>
      <c r="B37" s="60">
        <v>44752</v>
      </c>
      <c r="C37" s="54">
        <v>100</v>
      </c>
      <c r="D37" s="54">
        <v>100</v>
      </c>
    </row>
    <row r="38" spans="1:4" x14ac:dyDescent="0.35">
      <c r="A38" s="59" t="s">
        <v>181</v>
      </c>
      <c r="B38" s="60">
        <v>44759</v>
      </c>
      <c r="C38" s="54">
        <v>97.589266394893542</v>
      </c>
      <c r="D38" s="54">
        <v>97.589266394893542</v>
      </c>
    </row>
    <row r="39" spans="1:4" x14ac:dyDescent="0.35">
      <c r="A39" s="59" t="s">
        <v>181</v>
      </c>
      <c r="B39" s="60">
        <v>44766</v>
      </c>
      <c r="C39" s="54">
        <v>95.213686714248851</v>
      </c>
      <c r="D39" s="54">
        <v>95.213686714248851</v>
      </c>
    </row>
    <row r="40" spans="1:4" x14ac:dyDescent="0.35">
      <c r="A40" s="59" t="s">
        <v>181</v>
      </c>
      <c r="B40" s="60">
        <v>44773</v>
      </c>
      <c r="C40" s="54">
        <v>92.907902259149282</v>
      </c>
      <c r="D40" s="54">
        <v>92.907902259149282</v>
      </c>
    </row>
    <row r="41" spans="1:4" x14ac:dyDescent="0.35">
      <c r="A41" s="59" t="s">
        <v>181</v>
      </c>
      <c r="B41" s="60">
        <v>44780</v>
      </c>
      <c r="C41" s="54">
        <v>90.705536559124639</v>
      </c>
      <c r="D41" s="54">
        <v>90.705536559124639</v>
      </c>
    </row>
    <row r="42" spans="1:4" x14ac:dyDescent="0.35">
      <c r="A42" s="59" t="s">
        <v>181</v>
      </c>
      <c r="B42" s="60">
        <v>44787</v>
      </c>
      <c r="C42" s="54">
        <v>88.638705065376882</v>
      </c>
      <c r="D42" s="54">
        <v>88.638705065376882</v>
      </c>
    </row>
    <row r="43" spans="1:4" x14ac:dyDescent="0.35">
      <c r="A43" s="59" t="s">
        <v>181</v>
      </c>
      <c r="B43" s="60">
        <v>44794</v>
      </c>
      <c r="C43" s="54">
        <v>86.737546835184105</v>
      </c>
      <c r="D43" s="54">
        <v>86.737546835184105</v>
      </c>
    </row>
    <row r="44" spans="1:4" x14ac:dyDescent="0.35">
      <c r="A44" s="59" t="s">
        <v>181</v>
      </c>
      <c r="B44" s="60">
        <v>44801</v>
      </c>
      <c r="C44" s="54">
        <v>85.029785036577977</v>
      </c>
      <c r="D44" s="54">
        <v>85.029785036577977</v>
      </c>
    </row>
    <row r="45" spans="1:4" x14ac:dyDescent="0.35">
      <c r="A45" s="59" t="s">
        <v>181</v>
      </c>
      <c r="B45" s="60">
        <v>44808</v>
      </c>
      <c r="C45" s="54">
        <v>83.54032268212687</v>
      </c>
      <c r="D45" s="54">
        <v>83.54032268212687</v>
      </c>
    </row>
    <row r="46" spans="1:4" x14ac:dyDescent="0.35">
      <c r="A46" s="59" t="s">
        <v>181</v>
      </c>
      <c r="B46" s="60">
        <v>44815</v>
      </c>
      <c r="C46" s="54">
        <v>82.290879486935808</v>
      </c>
      <c r="D46" s="54">
        <v>82.290879486935808</v>
      </c>
    </row>
    <row r="47" spans="1:4" x14ac:dyDescent="0.35">
      <c r="A47" s="59" t="s">
        <v>181</v>
      </c>
      <c r="B47" s="60">
        <v>44822</v>
      </c>
      <c r="C47" s="54">
        <v>81.299675146291705</v>
      </c>
      <c r="D47" s="54">
        <v>81.299675146291705</v>
      </c>
    </row>
    <row r="48" spans="1:4" x14ac:dyDescent="0.35">
      <c r="A48" s="59" t="s">
        <v>181</v>
      </c>
      <c r="B48" s="60">
        <v>44829</v>
      </c>
      <c r="C48" s="54">
        <v>80.58116365147896</v>
      </c>
      <c r="D48" s="54">
        <v>80.58116365147896</v>
      </c>
    </row>
    <row r="49" spans="1:4" x14ac:dyDescent="0.35">
      <c r="A49" s="59" t="s">
        <v>181</v>
      </c>
      <c r="B49" s="60">
        <v>44836</v>
      </c>
      <c r="C49" s="54">
        <v>80.145822518038926</v>
      </c>
      <c r="D49" s="54">
        <v>80.145822518038926</v>
      </c>
    </row>
    <row r="50" spans="1:4" x14ac:dyDescent="0.35">
      <c r="A50" s="59" t="s">
        <v>181</v>
      </c>
      <c r="B50" s="60">
        <v>44843</v>
      </c>
      <c r="C50" s="54">
        <v>80</v>
      </c>
      <c r="D50" s="54">
        <v>80</v>
      </c>
    </row>
    <row r="51" spans="1:4" x14ac:dyDescent="0.35">
      <c r="A51" s="59" t="s">
        <v>181</v>
      </c>
      <c r="B51" s="60">
        <v>44850</v>
      </c>
      <c r="C51" s="54">
        <v>80.145822518038926</v>
      </c>
      <c r="D51" s="54">
        <v>80.145822518038926</v>
      </c>
    </row>
    <row r="52" spans="1:4" x14ac:dyDescent="0.35">
      <c r="A52" s="59" t="s">
        <v>181</v>
      </c>
      <c r="B52" s="60">
        <v>44857</v>
      </c>
      <c r="C52" s="54">
        <v>80.58116365147896</v>
      </c>
      <c r="D52" s="54">
        <v>80.58116365147896</v>
      </c>
    </row>
    <row r="53" spans="1:4" x14ac:dyDescent="0.35">
      <c r="A53" s="59" t="s">
        <v>181</v>
      </c>
      <c r="B53" s="60">
        <v>44864</v>
      </c>
      <c r="C53" s="54">
        <v>81.299675146291705</v>
      </c>
      <c r="D53" s="54">
        <v>81.299675146291705</v>
      </c>
    </row>
    <row r="54" spans="1:4" x14ac:dyDescent="0.35">
      <c r="A54" s="59" t="s">
        <v>181</v>
      </c>
      <c r="B54" s="60">
        <v>44871</v>
      </c>
      <c r="C54" s="54">
        <v>82.290879486935793</v>
      </c>
      <c r="D54" s="54">
        <v>82.290879486935793</v>
      </c>
    </row>
    <row r="55" spans="1:4" x14ac:dyDescent="0.35">
      <c r="A55" s="59" t="s">
        <v>181</v>
      </c>
      <c r="B55" s="60">
        <v>44878</v>
      </c>
      <c r="C55" s="54">
        <v>83.540322682126856</v>
      </c>
      <c r="D55" s="54">
        <v>83.540322682126856</v>
      </c>
    </row>
    <row r="56" spans="1:4" x14ac:dyDescent="0.35">
      <c r="A56" s="59" t="s">
        <v>181</v>
      </c>
      <c r="B56" s="60">
        <v>44885</v>
      </c>
      <c r="C56" s="54">
        <v>85.029785036577977</v>
      </c>
      <c r="D56" s="54">
        <v>85.029785036577977</v>
      </c>
    </row>
    <row r="57" spans="1:4" x14ac:dyDescent="0.35">
      <c r="A57" s="59" t="s">
        <v>181</v>
      </c>
      <c r="B57" s="60">
        <v>44892</v>
      </c>
      <c r="C57" s="54">
        <v>86.737546835184091</v>
      </c>
      <c r="D57" s="54">
        <v>86.737546835184091</v>
      </c>
    </row>
    <row r="58" spans="1:4" x14ac:dyDescent="0.35">
      <c r="A58" s="59" t="s">
        <v>181</v>
      </c>
      <c r="B58" s="60">
        <v>44899</v>
      </c>
      <c r="C58" s="54">
        <v>88.638705065376882</v>
      </c>
      <c r="D58" s="54">
        <v>88.638705065376882</v>
      </c>
    </row>
    <row r="59" spans="1:4" x14ac:dyDescent="0.35">
      <c r="A59" s="59" t="s">
        <v>181</v>
      </c>
      <c r="B59" s="60">
        <v>44906</v>
      </c>
      <c r="C59" s="54">
        <v>90.705536559124624</v>
      </c>
      <c r="D59" s="54">
        <v>90.705536559124624</v>
      </c>
    </row>
    <row r="60" spans="1:4" x14ac:dyDescent="0.35">
      <c r="A60" s="59" t="s">
        <v>181</v>
      </c>
      <c r="B60" s="60">
        <v>44913</v>
      </c>
      <c r="C60" s="54">
        <v>92.907902259149282</v>
      </c>
      <c r="D60" s="54">
        <v>92.907902259149282</v>
      </c>
    </row>
    <row r="61" spans="1:4" x14ac:dyDescent="0.35">
      <c r="A61" s="59" t="s">
        <v>181</v>
      </c>
      <c r="B61" s="60">
        <v>44920</v>
      </c>
      <c r="C61" s="54">
        <v>95.213686714248837</v>
      </c>
      <c r="D61" s="54">
        <v>95.213686714248837</v>
      </c>
    </row>
    <row r="62" spans="1:4" x14ac:dyDescent="0.35">
      <c r="A62" s="59" t="s">
        <v>181</v>
      </c>
      <c r="B62" s="60">
        <v>44927</v>
      </c>
      <c r="C62" s="54">
        <v>97.589266394893528</v>
      </c>
      <c r="D62" s="54">
        <v>97.589266394893528</v>
      </c>
    </row>
    <row r="63" spans="1:4" x14ac:dyDescent="0.35">
      <c r="A63" s="59" t="s">
        <v>181</v>
      </c>
      <c r="B63" s="60">
        <v>44934</v>
      </c>
      <c r="C63" s="54">
        <v>100.00000000000001</v>
      </c>
      <c r="D63" s="54">
        <v>100.00000000000001</v>
      </c>
    </row>
    <row r="64" spans="1:4" x14ac:dyDescent="0.35">
      <c r="A64" s="59" t="s">
        <v>181</v>
      </c>
      <c r="B64" s="60">
        <v>44941</v>
      </c>
      <c r="C64" s="54">
        <v>102.41073360510646</v>
      </c>
      <c r="D64" s="54">
        <v>102.41073360510646</v>
      </c>
    </row>
    <row r="65" spans="1:4" x14ac:dyDescent="0.35">
      <c r="A65" s="59" t="s">
        <v>181</v>
      </c>
      <c r="B65" s="60">
        <v>44948</v>
      </c>
      <c r="C65" s="54">
        <v>104.78631328575115</v>
      </c>
      <c r="D65" s="54">
        <v>104.78631328575115</v>
      </c>
    </row>
    <row r="66" spans="1:4" x14ac:dyDescent="0.35">
      <c r="A66" s="59" t="s">
        <v>181</v>
      </c>
      <c r="B66" s="60">
        <v>44955</v>
      </c>
      <c r="C66" s="54">
        <v>107.0920977408507</v>
      </c>
      <c r="D66" s="54">
        <v>107.0920977408507</v>
      </c>
    </row>
    <row r="67" spans="1:4" x14ac:dyDescent="0.35">
      <c r="A67" s="59" t="s">
        <v>181</v>
      </c>
      <c r="B67" s="60">
        <v>44962</v>
      </c>
      <c r="C67" s="54">
        <v>109.29446344087536</v>
      </c>
      <c r="D67" s="54">
        <v>109.29446344087536</v>
      </c>
    </row>
    <row r="68" spans="1:4" x14ac:dyDescent="0.35">
      <c r="A68" s="59" t="s">
        <v>181</v>
      </c>
      <c r="B68" s="60">
        <v>44969</v>
      </c>
      <c r="C68" s="54">
        <v>111.36129493462312</v>
      </c>
      <c r="D68" s="54">
        <v>111.36129493462312</v>
      </c>
    </row>
    <row r="69" spans="1:4" x14ac:dyDescent="0.35">
      <c r="A69" s="59" t="s">
        <v>181</v>
      </c>
      <c r="B69" s="60">
        <v>44976</v>
      </c>
      <c r="C69" s="54">
        <v>113.26245316481591</v>
      </c>
      <c r="D69" s="54">
        <v>113.26245316481591</v>
      </c>
    </row>
    <row r="70" spans="1:4" x14ac:dyDescent="0.35">
      <c r="A70" s="59" t="s">
        <v>181</v>
      </c>
      <c r="B70" s="60">
        <v>44983</v>
      </c>
      <c r="C70" s="54">
        <v>114.97021496342201</v>
      </c>
      <c r="D70" s="54">
        <v>114.97021496342201</v>
      </c>
    </row>
    <row r="71" spans="1:4" x14ac:dyDescent="0.35">
      <c r="A71" s="59" t="s">
        <v>181</v>
      </c>
      <c r="B71" s="60">
        <v>44990</v>
      </c>
      <c r="C71" s="54">
        <v>116.45967731787312</v>
      </c>
      <c r="D71" s="54">
        <v>116.45967731787312</v>
      </c>
    </row>
    <row r="72" spans="1:4" x14ac:dyDescent="0.35">
      <c r="A72" s="59" t="s">
        <v>181</v>
      </c>
      <c r="B72" s="60">
        <v>44997</v>
      </c>
      <c r="C72" s="54">
        <v>117.70912051306419</v>
      </c>
      <c r="D72" s="54">
        <v>117.70912051306419</v>
      </c>
    </row>
    <row r="73" spans="1:4" x14ac:dyDescent="0.35">
      <c r="A73" s="59" t="s">
        <v>181</v>
      </c>
      <c r="B73" s="60">
        <v>45004</v>
      </c>
      <c r="C73" s="54">
        <v>118.7003248537083</v>
      </c>
      <c r="D73" s="54">
        <v>118.7003248537083</v>
      </c>
    </row>
    <row r="74" spans="1:4" x14ac:dyDescent="0.35">
      <c r="A74" s="59" t="s">
        <v>181</v>
      </c>
      <c r="B74" s="60">
        <v>45011</v>
      </c>
      <c r="C74" s="54">
        <v>119.41883634852104</v>
      </c>
      <c r="D74" s="54">
        <v>119.41883634852104</v>
      </c>
    </row>
    <row r="75" spans="1:4" x14ac:dyDescent="0.35">
      <c r="A75" s="59" t="s">
        <v>181</v>
      </c>
      <c r="B75" s="60">
        <v>45018</v>
      </c>
      <c r="C75" s="54">
        <v>119.85417748196107</v>
      </c>
      <c r="D75" s="54">
        <v>119.85417748196107</v>
      </c>
    </row>
    <row r="76" spans="1:4" x14ac:dyDescent="0.35">
      <c r="A76" s="59" t="s">
        <v>181</v>
      </c>
      <c r="B76" s="60">
        <v>45025</v>
      </c>
      <c r="C76" s="54">
        <v>120</v>
      </c>
      <c r="D76" s="54">
        <v>120</v>
      </c>
    </row>
    <row r="77" spans="1:4" x14ac:dyDescent="0.35">
      <c r="A77" s="59" t="s">
        <v>181</v>
      </c>
      <c r="B77" s="60">
        <v>45032</v>
      </c>
      <c r="C77" s="54">
        <v>119.85417748196107</v>
      </c>
      <c r="D77" s="54">
        <v>119.85417748196107</v>
      </c>
    </row>
    <row r="78" spans="1:4" x14ac:dyDescent="0.35">
      <c r="A78" s="59" t="s">
        <v>181</v>
      </c>
      <c r="B78" s="60">
        <v>45039</v>
      </c>
      <c r="C78" s="54">
        <v>119.41883634852104</v>
      </c>
      <c r="D78" s="54">
        <v>119.41883634852104</v>
      </c>
    </row>
    <row r="79" spans="1:4" x14ac:dyDescent="0.35">
      <c r="A79" s="59" t="s">
        <v>181</v>
      </c>
      <c r="B79" s="60">
        <v>45046</v>
      </c>
      <c r="C79" s="54">
        <v>118.7003248537083</v>
      </c>
      <c r="D79" s="54">
        <v>118.7003248537083</v>
      </c>
    </row>
    <row r="80" spans="1:4" x14ac:dyDescent="0.35">
      <c r="A80" s="59" t="s">
        <v>181</v>
      </c>
      <c r="B80" s="60">
        <v>45053</v>
      </c>
      <c r="C80" s="54">
        <v>117.70912051306421</v>
      </c>
      <c r="D80" s="54">
        <v>117.70912051306421</v>
      </c>
    </row>
    <row r="81" spans="1:4" x14ac:dyDescent="0.35">
      <c r="A81" s="59" t="s">
        <v>181</v>
      </c>
      <c r="B81" s="60">
        <v>45060</v>
      </c>
      <c r="C81" s="54">
        <v>116.45967731787314</v>
      </c>
      <c r="D81" s="54">
        <v>116.45967731787314</v>
      </c>
    </row>
    <row r="82" spans="1:4" x14ac:dyDescent="0.35">
      <c r="A82" s="59" t="s">
        <v>181</v>
      </c>
      <c r="B82" s="60">
        <v>45067</v>
      </c>
      <c r="C82" s="54">
        <v>114.97021496342202</v>
      </c>
      <c r="D82" s="54">
        <v>114.97021496342202</v>
      </c>
    </row>
    <row r="83" spans="1:4" x14ac:dyDescent="0.35">
      <c r="A83" s="59" t="s">
        <v>181</v>
      </c>
      <c r="B83" s="60">
        <v>45074</v>
      </c>
      <c r="C83" s="54">
        <v>113.26245316481591</v>
      </c>
      <c r="D83" s="54">
        <v>113.26245316481591</v>
      </c>
    </row>
    <row r="84" spans="1:4" x14ac:dyDescent="0.35">
      <c r="A84" s="59" t="s">
        <v>181</v>
      </c>
      <c r="B84" s="60">
        <v>45081</v>
      </c>
      <c r="C84" s="54">
        <v>111.36129493462313</v>
      </c>
      <c r="D84" s="54">
        <v>111.36129493462313</v>
      </c>
    </row>
    <row r="85" spans="1:4" x14ac:dyDescent="0.35">
      <c r="A85" s="59" t="s">
        <v>181</v>
      </c>
      <c r="B85" s="60">
        <v>45088</v>
      </c>
      <c r="C85" s="54">
        <v>109.29446344087538</v>
      </c>
      <c r="D85" s="54">
        <v>109.29446344087538</v>
      </c>
    </row>
    <row r="86" spans="1:4" x14ac:dyDescent="0.35">
      <c r="A86" s="59" t="s">
        <v>181</v>
      </c>
      <c r="B86" s="60">
        <v>45095</v>
      </c>
      <c r="C86" s="54">
        <v>107.09209774085072</v>
      </c>
      <c r="D86" s="54">
        <v>107.09209774085072</v>
      </c>
    </row>
    <row r="87" spans="1:4" x14ac:dyDescent="0.35">
      <c r="A87" s="59" t="s">
        <v>181</v>
      </c>
      <c r="B87" s="60">
        <v>45102</v>
      </c>
      <c r="C87" s="54">
        <v>104.78631328575118</v>
      </c>
      <c r="D87" s="54">
        <v>104.78631328575118</v>
      </c>
    </row>
    <row r="88" spans="1:4" x14ac:dyDescent="0.35">
      <c r="A88" s="59" t="s">
        <v>181</v>
      </c>
      <c r="B88" s="60">
        <v>45109</v>
      </c>
      <c r="C88" s="54">
        <v>102.41073360510646</v>
      </c>
      <c r="D88" s="54">
        <v>102.41073360510646</v>
      </c>
    </row>
    <row r="89" spans="1:4" x14ac:dyDescent="0.35">
      <c r="A89" s="59" t="s">
        <v>181</v>
      </c>
      <c r="B89" s="60">
        <v>45116</v>
      </c>
      <c r="C89" s="54">
        <v>100.00000000000001</v>
      </c>
      <c r="D89" s="54">
        <v>100.00000000000001</v>
      </c>
    </row>
    <row r="90" spans="1:4" x14ac:dyDescent="0.35">
      <c r="A90" s="59" t="s">
        <v>181</v>
      </c>
      <c r="B90" s="60">
        <v>45123</v>
      </c>
      <c r="C90" s="54">
        <v>97.589266394893528</v>
      </c>
      <c r="D90" s="54">
        <v>97.589266394893528</v>
      </c>
    </row>
    <row r="91" spans="1:4" x14ac:dyDescent="0.35">
      <c r="A91" s="59" t="s">
        <v>181</v>
      </c>
      <c r="B91" s="60">
        <v>45130</v>
      </c>
      <c r="C91" s="54">
        <v>95.213686714248837</v>
      </c>
      <c r="D91" s="54">
        <v>95.213686714248837</v>
      </c>
    </row>
    <row r="92" spans="1:4" x14ac:dyDescent="0.35">
      <c r="A92" s="59" t="s">
        <v>181</v>
      </c>
      <c r="B92" s="60">
        <v>45137</v>
      </c>
      <c r="C92" s="54">
        <v>92.907902259149296</v>
      </c>
      <c r="D92" s="54">
        <v>92.907902259149296</v>
      </c>
    </row>
    <row r="93" spans="1:4" x14ac:dyDescent="0.35">
      <c r="A93" s="59" t="s">
        <v>181</v>
      </c>
      <c r="B93" s="60">
        <v>45144</v>
      </c>
      <c r="C93" s="54">
        <v>90.705536559124639</v>
      </c>
      <c r="D93" s="54">
        <v>90.705536559124639</v>
      </c>
    </row>
    <row r="94" spans="1:4" x14ac:dyDescent="0.35">
      <c r="A94" s="59" t="s">
        <v>181</v>
      </c>
      <c r="B94" s="60">
        <v>45151</v>
      </c>
      <c r="C94" s="54">
        <v>88.638705065376882</v>
      </c>
      <c r="D94" s="54">
        <v>88.638705065376882</v>
      </c>
    </row>
    <row r="95" spans="1:4" x14ac:dyDescent="0.35">
      <c r="A95" s="59" t="s">
        <v>181</v>
      </c>
      <c r="B95" s="60">
        <v>45158</v>
      </c>
      <c r="C95" s="54">
        <v>86.737546835184105</v>
      </c>
      <c r="D95" s="54">
        <v>86.737546835184105</v>
      </c>
    </row>
    <row r="96" spans="1:4" x14ac:dyDescent="0.35">
      <c r="A96" s="59" t="s">
        <v>181</v>
      </c>
      <c r="B96" s="60">
        <v>45165</v>
      </c>
      <c r="C96" s="54">
        <v>85.029785036577991</v>
      </c>
      <c r="D96" s="54">
        <v>85.029785036577991</v>
      </c>
    </row>
    <row r="97" spans="1:4" x14ac:dyDescent="0.35">
      <c r="A97" s="59" t="s">
        <v>181</v>
      </c>
      <c r="B97" s="60">
        <v>45172</v>
      </c>
      <c r="C97" s="54">
        <v>83.540322682126885</v>
      </c>
      <c r="D97" s="54">
        <v>83.540322682126885</v>
      </c>
    </row>
    <row r="98" spans="1:4" x14ac:dyDescent="0.35">
      <c r="A98" s="59" t="s">
        <v>181</v>
      </c>
      <c r="B98" s="60">
        <v>45179</v>
      </c>
      <c r="C98" s="54">
        <v>82.290879486935822</v>
      </c>
      <c r="D98" s="54">
        <v>82.290879486935822</v>
      </c>
    </row>
    <row r="99" spans="1:4" x14ac:dyDescent="0.35">
      <c r="A99" s="59" t="s">
        <v>181</v>
      </c>
      <c r="B99" s="60">
        <v>45186</v>
      </c>
      <c r="C99" s="54">
        <v>81.299675146291719</v>
      </c>
      <c r="D99" s="54">
        <v>81.299675146291719</v>
      </c>
    </row>
    <row r="100" spans="1:4" x14ac:dyDescent="0.35">
      <c r="A100" s="59" t="s">
        <v>181</v>
      </c>
      <c r="B100" s="60">
        <v>45193</v>
      </c>
      <c r="C100" s="54">
        <v>80.58116365147896</v>
      </c>
      <c r="D100" s="54">
        <v>80.58116365147896</v>
      </c>
    </row>
    <row r="101" spans="1:4" x14ac:dyDescent="0.35">
      <c r="A101" s="59" t="s">
        <v>181</v>
      </c>
      <c r="B101" s="60">
        <v>45200</v>
      </c>
      <c r="C101" s="54">
        <v>80.145822518038926</v>
      </c>
      <c r="D101" s="54">
        <v>80.145822518038926</v>
      </c>
    </row>
    <row r="102" spans="1:4" x14ac:dyDescent="0.35">
      <c r="A102" s="59" t="s">
        <v>181</v>
      </c>
      <c r="B102" s="60">
        <v>45207</v>
      </c>
      <c r="C102" s="54">
        <v>80</v>
      </c>
      <c r="D102" s="54">
        <v>80</v>
      </c>
    </row>
    <row r="103" spans="1:4" x14ac:dyDescent="0.35">
      <c r="A103" s="59" t="s">
        <v>181</v>
      </c>
      <c r="B103" s="60">
        <v>45214</v>
      </c>
      <c r="C103" s="54">
        <v>80.145822518038926</v>
      </c>
      <c r="D103" s="54">
        <v>80.145822518038926</v>
      </c>
    </row>
    <row r="104" spans="1:4" x14ac:dyDescent="0.35">
      <c r="A104" s="59" t="s">
        <v>181</v>
      </c>
      <c r="B104" s="60">
        <v>45221</v>
      </c>
      <c r="C104" s="54">
        <v>80.58116365147896</v>
      </c>
      <c r="D104" s="54">
        <v>80.58116365147896</v>
      </c>
    </row>
    <row r="105" spans="1:4" x14ac:dyDescent="0.35">
      <c r="A105" s="59" t="s">
        <v>181</v>
      </c>
      <c r="B105" s="60">
        <v>45228</v>
      </c>
      <c r="C105" s="54">
        <v>81.299675146291705</v>
      </c>
      <c r="D105" s="54">
        <v>81.299675146291705</v>
      </c>
    </row>
    <row r="106" spans="1:4" x14ac:dyDescent="0.35">
      <c r="A106" s="59" t="s">
        <v>181</v>
      </c>
      <c r="B106" s="60">
        <v>45235</v>
      </c>
      <c r="C106" s="54">
        <v>82.290879486935793</v>
      </c>
      <c r="D106" s="54">
        <v>82.290879486935793</v>
      </c>
    </row>
    <row r="107" spans="1:4" x14ac:dyDescent="0.35">
      <c r="A107" s="59" t="s">
        <v>181</v>
      </c>
      <c r="B107" s="60">
        <v>45242</v>
      </c>
      <c r="C107" s="54">
        <v>83.54032268212687</v>
      </c>
      <c r="D107" s="54">
        <v>83.54032268212687</v>
      </c>
    </row>
    <row r="108" spans="1:4" x14ac:dyDescent="0.35">
      <c r="A108" s="59" t="s">
        <v>181</v>
      </c>
      <c r="B108" s="60">
        <v>45249</v>
      </c>
      <c r="C108" s="54">
        <v>85.029785036577977</v>
      </c>
      <c r="D108" s="54">
        <v>85.029785036577977</v>
      </c>
    </row>
    <row r="109" spans="1:4" x14ac:dyDescent="0.35">
      <c r="A109" s="59" t="s">
        <v>181</v>
      </c>
      <c r="B109" s="60">
        <v>45256</v>
      </c>
      <c r="C109" s="54">
        <v>86.737546835184091</v>
      </c>
      <c r="D109" s="54">
        <v>86.737546835184091</v>
      </c>
    </row>
    <row r="110" spans="1:4" x14ac:dyDescent="0.35">
      <c r="A110" s="59" t="s">
        <v>181</v>
      </c>
      <c r="B110" s="60">
        <v>45263</v>
      </c>
      <c r="C110" s="54">
        <v>88.638705065376897</v>
      </c>
      <c r="D110" s="54">
        <v>88.638705065376897</v>
      </c>
    </row>
    <row r="111" spans="1:4" x14ac:dyDescent="0.35">
      <c r="A111" s="59" t="s">
        <v>181</v>
      </c>
      <c r="B111" s="60">
        <v>45270</v>
      </c>
      <c r="C111" s="54">
        <v>90.705536559124624</v>
      </c>
      <c r="D111" s="54">
        <v>90.705536559124624</v>
      </c>
    </row>
    <row r="112" spans="1:4" x14ac:dyDescent="0.35">
      <c r="A112" s="59" t="s">
        <v>181</v>
      </c>
      <c r="B112" s="60">
        <v>45277</v>
      </c>
      <c r="C112" s="54">
        <v>92.907902259149282</v>
      </c>
      <c r="D112" s="54">
        <v>92.907902259149282</v>
      </c>
    </row>
    <row r="113" spans="1:4" x14ac:dyDescent="0.35">
      <c r="A113" s="59" t="s">
        <v>181</v>
      </c>
      <c r="B113" s="60">
        <v>45284</v>
      </c>
      <c r="C113" s="54">
        <v>95.213686714248823</v>
      </c>
      <c r="D113" s="54">
        <v>95.213686714248823</v>
      </c>
    </row>
    <row r="114" spans="1:4" x14ac:dyDescent="0.35">
      <c r="A114" s="59" t="s">
        <v>181</v>
      </c>
      <c r="B114" s="60">
        <v>45291</v>
      </c>
      <c r="C114" s="54">
        <v>97.5892663948935</v>
      </c>
      <c r="D114" s="54">
        <v>97.5892663948935</v>
      </c>
    </row>
    <row r="115" spans="1:4" x14ac:dyDescent="0.35">
      <c r="A115" s="59" t="s">
        <v>181</v>
      </c>
      <c r="B115" s="60">
        <v>45298</v>
      </c>
      <c r="C115" s="54">
        <v>100.00000000000003</v>
      </c>
      <c r="D115" s="54">
        <v>100.00000000000003</v>
      </c>
    </row>
    <row r="116" spans="1:4" x14ac:dyDescent="0.35">
      <c r="A116" s="59" t="s">
        <v>181</v>
      </c>
      <c r="B116" s="60">
        <v>45305</v>
      </c>
      <c r="C116" s="54">
        <v>102.41073360510647</v>
      </c>
      <c r="D116" s="54">
        <v>102.41073360510647</v>
      </c>
    </row>
    <row r="117" spans="1:4" x14ac:dyDescent="0.35">
      <c r="A117" s="59" t="s">
        <v>181</v>
      </c>
      <c r="B117" s="60">
        <v>45312</v>
      </c>
      <c r="C117" s="54">
        <v>104.78631328575116</v>
      </c>
      <c r="D117" s="54">
        <v>104.78631328575116</v>
      </c>
    </row>
    <row r="118" spans="1:4" x14ac:dyDescent="0.35">
      <c r="A118" s="59" t="s">
        <v>181</v>
      </c>
      <c r="B118" s="60">
        <v>45319</v>
      </c>
      <c r="C118" s="54">
        <v>107.0920977408507</v>
      </c>
      <c r="D118" s="54">
        <v>107.0920977408507</v>
      </c>
    </row>
    <row r="119" spans="1:4" x14ac:dyDescent="0.35">
      <c r="A119" s="59" t="s">
        <v>181</v>
      </c>
      <c r="B119" s="60">
        <v>45326</v>
      </c>
      <c r="C119" s="54">
        <v>109.29446344087535</v>
      </c>
      <c r="D119" s="54">
        <v>109.29446344087535</v>
      </c>
    </row>
    <row r="120" spans="1:4" x14ac:dyDescent="0.35">
      <c r="A120" s="59" t="s">
        <v>181</v>
      </c>
      <c r="B120" s="60">
        <v>45333</v>
      </c>
      <c r="C120" s="54">
        <v>111.36129493462309</v>
      </c>
      <c r="D120" s="54">
        <v>111.36129493462309</v>
      </c>
    </row>
    <row r="121" spans="1:4" x14ac:dyDescent="0.35">
      <c r="A121" s="59" t="s">
        <v>181</v>
      </c>
      <c r="B121" s="60">
        <v>45340</v>
      </c>
      <c r="C121" s="54">
        <v>113.26245316481589</v>
      </c>
      <c r="D121" s="54">
        <v>113.26245316481589</v>
      </c>
    </row>
    <row r="122" spans="1:4" x14ac:dyDescent="0.35">
      <c r="A122" s="59" t="s">
        <v>181</v>
      </c>
      <c r="B122" s="60">
        <v>45347</v>
      </c>
      <c r="C122" s="54">
        <v>114.97021496342201</v>
      </c>
      <c r="D122" s="54">
        <v>114.97021496342201</v>
      </c>
    </row>
    <row r="123" spans="1:4" x14ac:dyDescent="0.35">
      <c r="A123" s="59" t="s">
        <v>181</v>
      </c>
      <c r="B123" s="60">
        <v>45354</v>
      </c>
      <c r="C123" s="54">
        <v>116.45967731787312</v>
      </c>
      <c r="D123" s="54">
        <v>116.45967731787312</v>
      </c>
    </row>
    <row r="124" spans="1:4" x14ac:dyDescent="0.35">
      <c r="A124" s="59" t="s">
        <v>181</v>
      </c>
      <c r="B124" s="60">
        <v>45361</v>
      </c>
      <c r="C124" s="54">
        <v>117.70912051306419</v>
      </c>
      <c r="D124" s="54">
        <v>117.70912051306419</v>
      </c>
    </row>
    <row r="125" spans="1:4" x14ac:dyDescent="0.35">
      <c r="A125" s="59" t="s">
        <v>181</v>
      </c>
      <c r="B125" s="60">
        <v>45368</v>
      </c>
      <c r="C125" s="54">
        <v>118.7003248537083</v>
      </c>
      <c r="D125" s="54">
        <v>118.7003248537083</v>
      </c>
    </row>
    <row r="126" spans="1:4" x14ac:dyDescent="0.35">
      <c r="A126" s="59" t="s">
        <v>181</v>
      </c>
      <c r="B126" s="60">
        <v>45375</v>
      </c>
      <c r="C126" s="54">
        <v>119.41883634852104</v>
      </c>
      <c r="D126" s="54">
        <v>119.41883634852104</v>
      </c>
    </row>
    <row r="127" spans="1:4" x14ac:dyDescent="0.35">
      <c r="A127" s="59" t="s">
        <v>181</v>
      </c>
      <c r="B127" s="60">
        <v>45382</v>
      </c>
      <c r="C127" s="54">
        <v>119.85417748196107</v>
      </c>
      <c r="D127" s="54">
        <v>119.85417748196107</v>
      </c>
    </row>
    <row r="128" spans="1:4" x14ac:dyDescent="0.35">
      <c r="A128" s="59" t="s">
        <v>181</v>
      </c>
      <c r="B128" s="60">
        <v>45389</v>
      </c>
      <c r="C128" s="54">
        <v>120</v>
      </c>
      <c r="D128" s="54">
        <v>120</v>
      </c>
    </row>
    <row r="129" spans="1:4" x14ac:dyDescent="0.35">
      <c r="A129" s="59" t="s">
        <v>181</v>
      </c>
      <c r="B129" s="60">
        <v>45396</v>
      </c>
      <c r="C129" s="54">
        <v>119.85417748196107</v>
      </c>
      <c r="D129" s="54">
        <v>119.85417748196107</v>
      </c>
    </row>
    <row r="130" spans="1:4" x14ac:dyDescent="0.35">
      <c r="A130" s="59" t="s">
        <v>181</v>
      </c>
      <c r="B130" s="60">
        <v>45403</v>
      </c>
      <c r="C130" s="54">
        <v>119.41883634852104</v>
      </c>
      <c r="D130" s="54">
        <v>119.41883634852104</v>
      </c>
    </row>
    <row r="131" spans="1:4" x14ac:dyDescent="0.35">
      <c r="A131" s="59" t="s">
        <v>181</v>
      </c>
      <c r="B131" s="60">
        <v>45410</v>
      </c>
      <c r="C131" s="54">
        <v>118.70032485370831</v>
      </c>
      <c r="D131" s="54">
        <v>118.70032485370831</v>
      </c>
    </row>
    <row r="132" spans="1:4" x14ac:dyDescent="0.35">
      <c r="A132" s="59" t="s">
        <v>181</v>
      </c>
      <c r="B132" s="60">
        <v>45417</v>
      </c>
      <c r="C132" s="54">
        <v>117.70912051306419</v>
      </c>
      <c r="D132" s="54">
        <v>117.70912051306419</v>
      </c>
    </row>
    <row r="133" spans="1:4" x14ac:dyDescent="0.35">
      <c r="A133" s="59" t="s">
        <v>181</v>
      </c>
      <c r="B133" s="60">
        <v>45424</v>
      </c>
      <c r="C133" s="54">
        <v>116.45967731787313</v>
      </c>
      <c r="D133" s="54">
        <v>116.45967731787313</v>
      </c>
    </row>
    <row r="134" spans="1:4" x14ac:dyDescent="0.35">
      <c r="A134" s="59" t="s">
        <v>181</v>
      </c>
      <c r="B134" s="60">
        <v>45431</v>
      </c>
      <c r="C134" s="54">
        <v>114.97021496342202</v>
      </c>
      <c r="D134" s="54">
        <v>114.97021496342202</v>
      </c>
    </row>
    <row r="135" spans="1:4" x14ac:dyDescent="0.35">
      <c r="A135" s="59" t="s">
        <v>181</v>
      </c>
      <c r="B135" s="60">
        <v>45438</v>
      </c>
      <c r="C135" s="54">
        <v>113.26245316481592</v>
      </c>
      <c r="D135" s="54">
        <v>113.26245316481592</v>
      </c>
    </row>
    <row r="136" spans="1:4" x14ac:dyDescent="0.35">
      <c r="A136" s="59" t="s">
        <v>181</v>
      </c>
      <c r="B136" s="60">
        <v>45445</v>
      </c>
      <c r="C136" s="54">
        <v>111.36129493462315</v>
      </c>
      <c r="D136" s="54">
        <v>111.36129493462315</v>
      </c>
    </row>
    <row r="137" spans="1:4" x14ac:dyDescent="0.35">
      <c r="A137" s="59" t="s">
        <v>181</v>
      </c>
      <c r="B137" s="60">
        <v>45452</v>
      </c>
      <c r="C137" s="54">
        <v>109.29446344087538</v>
      </c>
      <c r="D137" s="54">
        <v>109.29446344087538</v>
      </c>
    </row>
    <row r="138" spans="1:4" x14ac:dyDescent="0.35">
      <c r="A138" s="59" t="s">
        <v>181</v>
      </c>
      <c r="B138" s="60">
        <v>45459</v>
      </c>
      <c r="C138" s="54">
        <v>107.09209774085073</v>
      </c>
      <c r="D138" s="54">
        <v>107.09209774085073</v>
      </c>
    </row>
    <row r="139" spans="1:4" x14ac:dyDescent="0.35">
      <c r="A139" s="59" t="s">
        <v>181</v>
      </c>
      <c r="B139" s="60">
        <v>45466</v>
      </c>
      <c r="C139" s="54">
        <v>104.78631328575118</v>
      </c>
      <c r="D139" s="54">
        <v>104.78631328575118</v>
      </c>
    </row>
    <row r="140" spans="1:4" x14ac:dyDescent="0.35">
      <c r="A140" s="59" t="s">
        <v>181</v>
      </c>
      <c r="B140" s="60">
        <v>45473</v>
      </c>
      <c r="C140" s="54">
        <v>102.4107336051065</v>
      </c>
      <c r="D140" s="54">
        <v>102.4107336051065</v>
      </c>
    </row>
    <row r="141" spans="1:4" x14ac:dyDescent="0.35">
      <c r="A141" s="59" t="s">
        <v>181</v>
      </c>
      <c r="B141" s="60">
        <v>45480</v>
      </c>
      <c r="C141" s="54">
        <v>100.00000000000001</v>
      </c>
      <c r="D141" s="54">
        <v>100.00000000000001</v>
      </c>
    </row>
    <row r="142" spans="1:4" x14ac:dyDescent="0.35">
      <c r="A142" s="59" t="s">
        <v>181</v>
      </c>
      <c r="B142" s="60">
        <v>45487</v>
      </c>
      <c r="C142" s="54">
        <v>97.589266394893528</v>
      </c>
      <c r="D142" s="54">
        <v>97.589266394893528</v>
      </c>
    </row>
    <row r="143" spans="1:4" x14ac:dyDescent="0.35">
      <c r="A143" s="59" t="s">
        <v>181</v>
      </c>
      <c r="B143" s="60">
        <v>45494</v>
      </c>
      <c r="C143" s="54">
        <v>95.213686714248837</v>
      </c>
      <c r="D143" s="54">
        <v>95.213686714248837</v>
      </c>
    </row>
    <row r="144" spans="1:4" x14ac:dyDescent="0.35">
      <c r="A144" s="59" t="s">
        <v>181</v>
      </c>
      <c r="B144" s="60">
        <v>45501</v>
      </c>
      <c r="C144" s="54">
        <v>92.907902259149296</v>
      </c>
      <c r="D144" s="54">
        <v>92.907902259149296</v>
      </c>
    </row>
    <row r="145" spans="1:4" x14ac:dyDescent="0.35">
      <c r="A145" s="59" t="s">
        <v>181</v>
      </c>
      <c r="B145" s="60">
        <v>45508</v>
      </c>
      <c r="C145" s="54">
        <v>90.705536559124624</v>
      </c>
      <c r="D145" s="54">
        <v>90.705536559124624</v>
      </c>
    </row>
    <row r="146" spans="1:4" x14ac:dyDescent="0.35">
      <c r="A146" s="59" t="s">
        <v>181</v>
      </c>
      <c r="B146" s="60">
        <v>45515</v>
      </c>
      <c r="C146" s="54">
        <v>88.638705065376911</v>
      </c>
      <c r="D146" s="54">
        <v>88.638705065376911</v>
      </c>
    </row>
    <row r="147" spans="1:4" x14ac:dyDescent="0.35">
      <c r="A147" s="59" t="s">
        <v>181</v>
      </c>
      <c r="B147" s="60">
        <v>45522</v>
      </c>
      <c r="C147" s="54">
        <v>86.737546835184105</v>
      </c>
      <c r="D147" s="54">
        <v>86.737546835184105</v>
      </c>
    </row>
    <row r="148" spans="1:4" x14ac:dyDescent="0.35">
      <c r="A148" s="59" t="s">
        <v>181</v>
      </c>
      <c r="B148" s="60">
        <v>45529</v>
      </c>
      <c r="C148" s="54">
        <v>85.029785036577962</v>
      </c>
      <c r="D148" s="54">
        <v>85.029785036577962</v>
      </c>
    </row>
    <row r="149" spans="1:4" x14ac:dyDescent="0.35">
      <c r="A149" s="59" t="s">
        <v>181</v>
      </c>
      <c r="B149" s="60">
        <v>45536</v>
      </c>
      <c r="C149" s="54">
        <v>83.540322682126885</v>
      </c>
      <c r="D149" s="54">
        <v>83.540322682126885</v>
      </c>
    </row>
    <row r="150" spans="1:4" x14ac:dyDescent="0.35">
      <c r="A150" s="59" t="s">
        <v>181</v>
      </c>
      <c r="B150" s="60">
        <v>45543</v>
      </c>
      <c r="C150" s="54">
        <v>82.290879486935808</v>
      </c>
      <c r="D150" s="54">
        <v>82.290879486935808</v>
      </c>
    </row>
    <row r="151" spans="1:4" x14ac:dyDescent="0.35">
      <c r="A151" s="59" t="s">
        <v>181</v>
      </c>
      <c r="B151" s="60">
        <v>45550</v>
      </c>
      <c r="C151" s="54">
        <v>81.299675146291719</v>
      </c>
      <c r="D151" s="54">
        <v>81.299675146291719</v>
      </c>
    </row>
    <row r="152" spans="1:4" x14ac:dyDescent="0.35">
      <c r="A152" s="59" t="s">
        <v>181</v>
      </c>
      <c r="B152" s="60">
        <v>45557</v>
      </c>
      <c r="C152" s="54">
        <v>80.58116365147896</v>
      </c>
      <c r="D152" s="54">
        <v>80.58116365147896</v>
      </c>
    </row>
    <row r="153" spans="1:4" x14ac:dyDescent="0.35">
      <c r="A153" s="59" t="s">
        <v>181</v>
      </c>
      <c r="B153" s="60">
        <v>45564</v>
      </c>
      <c r="C153" s="54">
        <v>80.145822518038926</v>
      </c>
      <c r="D153" s="54">
        <v>80.145822518038926</v>
      </c>
    </row>
    <row r="154" spans="1:4" x14ac:dyDescent="0.35">
      <c r="A154" s="59" t="s">
        <v>181</v>
      </c>
      <c r="B154" s="60">
        <v>45571</v>
      </c>
      <c r="C154" s="54">
        <v>80</v>
      </c>
      <c r="D154" s="54">
        <v>80</v>
      </c>
    </row>
    <row r="155" spans="1:4" x14ac:dyDescent="0.35">
      <c r="A155" s="59" t="s">
        <v>181</v>
      </c>
      <c r="B155" s="60">
        <v>45578</v>
      </c>
      <c r="C155" s="54">
        <v>80.145822518038912</v>
      </c>
      <c r="D155" s="54">
        <v>80.145822518038912</v>
      </c>
    </row>
    <row r="156" spans="1:4" x14ac:dyDescent="0.35">
      <c r="A156" s="59" t="s">
        <v>181</v>
      </c>
      <c r="B156" s="60">
        <v>45585</v>
      </c>
      <c r="C156" s="54">
        <v>80.58116365147896</v>
      </c>
      <c r="D156" s="54">
        <v>80.58116365147896</v>
      </c>
    </row>
    <row r="157" spans="1:4" x14ac:dyDescent="0.35">
      <c r="A157" s="59" t="s">
        <v>181</v>
      </c>
      <c r="B157" s="60">
        <v>45592</v>
      </c>
      <c r="C157" s="54">
        <v>81.29967514629169</v>
      </c>
      <c r="D157" s="54">
        <v>81.29967514629169</v>
      </c>
    </row>
    <row r="158" spans="1:4" x14ac:dyDescent="0.35">
      <c r="A158" s="59" t="s">
        <v>181</v>
      </c>
      <c r="B158" s="60">
        <v>45599</v>
      </c>
      <c r="C158" s="54">
        <v>82.290879486935793</v>
      </c>
      <c r="D158" s="54">
        <v>82.290879486935793</v>
      </c>
    </row>
    <row r="159" spans="1:4" x14ac:dyDescent="0.35">
      <c r="A159" s="59" t="s">
        <v>181</v>
      </c>
      <c r="B159" s="60">
        <v>45606</v>
      </c>
      <c r="C159" s="54">
        <v>83.54032268212687</v>
      </c>
      <c r="D159" s="54">
        <v>83.54032268212687</v>
      </c>
    </row>
    <row r="160" spans="1:4" x14ac:dyDescent="0.35">
      <c r="A160" s="59" t="s">
        <v>181</v>
      </c>
      <c r="B160" s="60">
        <v>45613</v>
      </c>
      <c r="C160" s="54">
        <v>85.029785036577948</v>
      </c>
      <c r="D160" s="54">
        <v>85.029785036577948</v>
      </c>
    </row>
    <row r="161" spans="1:4" x14ac:dyDescent="0.35">
      <c r="A161" s="59" t="s">
        <v>181</v>
      </c>
      <c r="B161" s="60">
        <v>45620</v>
      </c>
      <c r="C161" s="54">
        <v>86.737546835184077</v>
      </c>
      <c r="D161" s="54">
        <v>86.737546835184077</v>
      </c>
    </row>
    <row r="162" spans="1:4" x14ac:dyDescent="0.35">
      <c r="A162" s="59" t="s">
        <v>181</v>
      </c>
      <c r="B162" s="60">
        <v>45627</v>
      </c>
      <c r="C162" s="54">
        <v>88.638705065376882</v>
      </c>
      <c r="D162" s="54">
        <v>88.638705065376882</v>
      </c>
    </row>
    <row r="163" spans="1:4" x14ac:dyDescent="0.35">
      <c r="A163" s="59" t="s">
        <v>181</v>
      </c>
      <c r="B163" s="60">
        <v>45634</v>
      </c>
      <c r="C163" s="54">
        <v>90.705536559124596</v>
      </c>
      <c r="D163" s="54">
        <v>90.705536559124596</v>
      </c>
    </row>
    <row r="164" spans="1:4" x14ac:dyDescent="0.35">
      <c r="A164" s="59" t="s">
        <v>181</v>
      </c>
      <c r="B164" s="60">
        <v>45641</v>
      </c>
      <c r="C164" s="54">
        <v>92.907902259149267</v>
      </c>
      <c r="D164" s="54">
        <v>92.907902259149267</v>
      </c>
    </row>
    <row r="165" spans="1:4" x14ac:dyDescent="0.35">
      <c r="A165" s="59" t="s">
        <v>181</v>
      </c>
      <c r="B165" s="60">
        <v>45648</v>
      </c>
      <c r="C165" s="54">
        <v>95.213686714248851</v>
      </c>
      <c r="D165" s="54">
        <v>95.213686714248851</v>
      </c>
    </row>
    <row r="166" spans="1:4" x14ac:dyDescent="0.35">
      <c r="A166" s="59" t="s">
        <v>181</v>
      </c>
      <c r="B166" s="60">
        <v>45655</v>
      </c>
      <c r="C166" s="54">
        <v>97.5892663948935</v>
      </c>
      <c r="D166" s="54">
        <v>97.5892663948935</v>
      </c>
    </row>
    <row r="167" spans="1:4" x14ac:dyDescent="0.35">
      <c r="A167" s="59" t="s">
        <v>182</v>
      </c>
      <c r="B167" s="60">
        <v>44570</v>
      </c>
      <c r="C167" s="54">
        <v>100</v>
      </c>
      <c r="D167" s="54">
        <v>100</v>
      </c>
    </row>
    <row r="168" spans="1:4" x14ac:dyDescent="0.35">
      <c r="A168" s="59" t="s">
        <v>182</v>
      </c>
      <c r="B168" s="60">
        <v>44577</v>
      </c>
      <c r="C168" s="54">
        <v>102.91073360510646</v>
      </c>
      <c r="D168" s="54">
        <v>102.91073360510646</v>
      </c>
    </row>
    <row r="169" spans="1:4" x14ac:dyDescent="0.35">
      <c r="A169" s="59" t="s">
        <v>182</v>
      </c>
      <c r="B169" s="60">
        <v>44584</v>
      </c>
      <c r="C169" s="54">
        <v>105.78631328575115</v>
      </c>
      <c r="D169" s="54">
        <v>105.78631328575115</v>
      </c>
    </row>
    <row r="170" spans="1:4" x14ac:dyDescent="0.35">
      <c r="A170" s="59" t="s">
        <v>182</v>
      </c>
      <c r="B170" s="60">
        <v>44591</v>
      </c>
      <c r="C170" s="54">
        <v>108.59209774085072</v>
      </c>
      <c r="D170" s="54">
        <v>108.59209774085072</v>
      </c>
    </row>
    <row r="171" spans="1:4" x14ac:dyDescent="0.35">
      <c r="A171" s="59" t="s">
        <v>182</v>
      </c>
      <c r="B171" s="60">
        <v>44598</v>
      </c>
      <c r="C171" s="54">
        <v>111.29446344087538</v>
      </c>
      <c r="D171" s="54">
        <v>111.29446344087538</v>
      </c>
    </row>
    <row r="172" spans="1:4" x14ac:dyDescent="0.35">
      <c r="A172" s="59" t="s">
        <v>182</v>
      </c>
      <c r="B172" s="60">
        <v>44605</v>
      </c>
      <c r="C172" s="54">
        <v>113.86129493462312</v>
      </c>
      <c r="D172" s="54">
        <v>113.86129493462312</v>
      </c>
    </row>
    <row r="173" spans="1:4" x14ac:dyDescent="0.35">
      <c r="A173" s="59" t="s">
        <v>182</v>
      </c>
      <c r="B173" s="60">
        <v>44612</v>
      </c>
      <c r="C173" s="54">
        <v>116.26245316481591</v>
      </c>
      <c r="D173" s="54">
        <v>116.26245316481591</v>
      </c>
    </row>
    <row r="174" spans="1:4" x14ac:dyDescent="0.35">
      <c r="A174" s="59" t="s">
        <v>182</v>
      </c>
      <c r="B174" s="60">
        <v>44619</v>
      </c>
      <c r="C174" s="54">
        <v>118.47021496342202</v>
      </c>
      <c r="D174" s="54">
        <v>118.47021496342202</v>
      </c>
    </row>
    <row r="175" spans="1:4" x14ac:dyDescent="0.35">
      <c r="A175" s="59" t="s">
        <v>182</v>
      </c>
      <c r="B175" s="60">
        <v>44626</v>
      </c>
      <c r="C175" s="54">
        <v>120.45967731787313</v>
      </c>
      <c r="D175" s="54">
        <v>120.45967731787313</v>
      </c>
    </row>
    <row r="176" spans="1:4" x14ac:dyDescent="0.35">
      <c r="A176" s="59" t="s">
        <v>182</v>
      </c>
      <c r="B176" s="60">
        <v>44633</v>
      </c>
      <c r="C176" s="54">
        <v>122.20912051306419</v>
      </c>
      <c r="D176" s="54">
        <v>122.20912051306419</v>
      </c>
    </row>
    <row r="177" spans="1:4" x14ac:dyDescent="0.35">
      <c r="A177" s="59" t="s">
        <v>182</v>
      </c>
      <c r="B177" s="60">
        <v>44640</v>
      </c>
      <c r="C177" s="54">
        <v>123.7003248537083</v>
      </c>
      <c r="D177" s="54">
        <v>123.7003248537083</v>
      </c>
    </row>
    <row r="178" spans="1:4" x14ac:dyDescent="0.35">
      <c r="A178" s="59" t="s">
        <v>182</v>
      </c>
      <c r="B178" s="60">
        <v>44647</v>
      </c>
      <c r="C178" s="54">
        <v>124.91883634852104</v>
      </c>
      <c r="D178" s="54">
        <v>124.91883634852104</v>
      </c>
    </row>
    <row r="179" spans="1:4" x14ac:dyDescent="0.35">
      <c r="A179" s="59" t="s">
        <v>182</v>
      </c>
      <c r="B179" s="60">
        <v>44654</v>
      </c>
      <c r="C179" s="54">
        <v>125.85417748196107</v>
      </c>
      <c r="D179" s="54">
        <v>125.85417748196107</v>
      </c>
    </row>
    <row r="180" spans="1:4" x14ac:dyDescent="0.35">
      <c r="A180" s="59" t="s">
        <v>182</v>
      </c>
      <c r="B180" s="60">
        <v>44661</v>
      </c>
      <c r="C180" s="54">
        <v>126.5</v>
      </c>
      <c r="D180" s="54">
        <v>126.5</v>
      </c>
    </row>
    <row r="181" spans="1:4" x14ac:dyDescent="0.35">
      <c r="A181" s="59" t="s">
        <v>182</v>
      </c>
      <c r="B181" s="60">
        <v>44668</v>
      </c>
      <c r="C181" s="54">
        <v>126.85417748196107</v>
      </c>
      <c r="D181" s="54">
        <v>126.85417748196107</v>
      </c>
    </row>
    <row r="182" spans="1:4" x14ac:dyDescent="0.35">
      <c r="A182" s="59" t="s">
        <v>182</v>
      </c>
      <c r="B182" s="60">
        <v>44675</v>
      </c>
      <c r="C182" s="54">
        <v>126.91883634852104</v>
      </c>
      <c r="D182" s="54">
        <v>126.91883634852104</v>
      </c>
    </row>
    <row r="183" spans="1:4" x14ac:dyDescent="0.35">
      <c r="A183" s="59" t="s">
        <v>182</v>
      </c>
      <c r="B183" s="60">
        <v>44682</v>
      </c>
      <c r="C183" s="54">
        <v>126.7003248537083</v>
      </c>
      <c r="D183" s="54">
        <v>126.7003248537083</v>
      </c>
    </row>
    <row r="184" spans="1:4" x14ac:dyDescent="0.35">
      <c r="A184" s="59" t="s">
        <v>182</v>
      </c>
      <c r="B184" s="60">
        <v>44689</v>
      </c>
      <c r="C184" s="54">
        <v>126.20912051306419</v>
      </c>
      <c r="D184" s="54">
        <v>126.20912051306419</v>
      </c>
    </row>
    <row r="185" spans="1:4" x14ac:dyDescent="0.35">
      <c r="A185" s="59" t="s">
        <v>182</v>
      </c>
      <c r="B185" s="60">
        <v>44696</v>
      </c>
      <c r="C185" s="54">
        <v>125.45967731787313</v>
      </c>
      <c r="D185" s="54">
        <v>125.45967731787313</v>
      </c>
    </row>
    <row r="186" spans="1:4" x14ac:dyDescent="0.35">
      <c r="A186" s="59" t="s">
        <v>182</v>
      </c>
      <c r="B186" s="60">
        <v>44703</v>
      </c>
      <c r="C186" s="54">
        <v>124.47021496342202</v>
      </c>
      <c r="D186" s="54">
        <v>124.47021496342202</v>
      </c>
    </row>
    <row r="187" spans="1:4" x14ac:dyDescent="0.35">
      <c r="A187" s="59" t="s">
        <v>182</v>
      </c>
      <c r="B187" s="60">
        <v>44710</v>
      </c>
      <c r="C187" s="54">
        <v>123.26245316481591</v>
      </c>
      <c r="D187" s="54">
        <v>123.26245316481591</v>
      </c>
    </row>
    <row r="188" spans="1:4" x14ac:dyDescent="0.35">
      <c r="A188" s="59" t="s">
        <v>182</v>
      </c>
      <c r="B188" s="60">
        <v>44717</v>
      </c>
      <c r="C188" s="54">
        <v>121.86129493462312</v>
      </c>
      <c r="D188" s="54">
        <v>121.86129493462312</v>
      </c>
    </row>
    <row r="189" spans="1:4" x14ac:dyDescent="0.35">
      <c r="A189" s="59" t="s">
        <v>182</v>
      </c>
      <c r="B189" s="60">
        <v>44724</v>
      </c>
      <c r="C189" s="54">
        <v>120.29446344087538</v>
      </c>
      <c r="D189" s="54">
        <v>120.29446344087538</v>
      </c>
    </row>
    <row r="190" spans="1:4" x14ac:dyDescent="0.35">
      <c r="A190" s="59" t="s">
        <v>182</v>
      </c>
      <c r="B190" s="60">
        <v>44731</v>
      </c>
      <c r="C190" s="54">
        <v>118.59209774085072</v>
      </c>
      <c r="D190" s="54">
        <v>118.59209774085072</v>
      </c>
    </row>
    <row r="191" spans="1:4" x14ac:dyDescent="0.35">
      <c r="A191" s="59" t="s">
        <v>182</v>
      </c>
      <c r="B191" s="60">
        <v>44738</v>
      </c>
      <c r="C191" s="54">
        <v>116.78631328575115</v>
      </c>
      <c r="D191" s="54">
        <v>116.78631328575115</v>
      </c>
    </row>
    <row r="192" spans="1:4" x14ac:dyDescent="0.35">
      <c r="A192" s="59" t="s">
        <v>182</v>
      </c>
      <c r="B192" s="60">
        <v>44745</v>
      </c>
      <c r="C192" s="54">
        <v>114.91073360510646</v>
      </c>
      <c r="D192" s="54">
        <v>114.91073360510646</v>
      </c>
    </row>
    <row r="193" spans="1:4" x14ac:dyDescent="0.35">
      <c r="A193" s="59" t="s">
        <v>182</v>
      </c>
      <c r="B193" s="60">
        <v>44752</v>
      </c>
      <c r="C193" s="54">
        <v>113</v>
      </c>
      <c r="D193" s="54">
        <v>113</v>
      </c>
    </row>
    <row r="194" spans="1:4" x14ac:dyDescent="0.35">
      <c r="A194" s="59" t="s">
        <v>182</v>
      </c>
      <c r="B194" s="60">
        <v>44759</v>
      </c>
      <c r="C194" s="54">
        <v>111.08926639489354</v>
      </c>
      <c r="D194" s="54">
        <v>111.08926639489354</v>
      </c>
    </row>
    <row r="195" spans="1:4" x14ac:dyDescent="0.35">
      <c r="A195" s="59" t="s">
        <v>182</v>
      </c>
      <c r="B195" s="60">
        <v>44766</v>
      </c>
      <c r="C195" s="54">
        <v>109.21368671424885</v>
      </c>
      <c r="D195" s="54">
        <v>109.21368671424885</v>
      </c>
    </row>
    <row r="196" spans="1:4" x14ac:dyDescent="0.35">
      <c r="A196" s="59" t="s">
        <v>182</v>
      </c>
      <c r="B196" s="60">
        <v>44773</v>
      </c>
      <c r="C196" s="54">
        <v>107.40790225914928</v>
      </c>
      <c r="D196" s="54">
        <v>107.40790225914928</v>
      </c>
    </row>
    <row r="197" spans="1:4" x14ac:dyDescent="0.35">
      <c r="A197" s="59" t="s">
        <v>182</v>
      </c>
      <c r="B197" s="60">
        <v>44780</v>
      </c>
      <c r="C197" s="54">
        <v>105.70553655912464</v>
      </c>
      <c r="D197" s="54">
        <v>105.70553655912464</v>
      </c>
    </row>
    <row r="198" spans="1:4" x14ac:dyDescent="0.35">
      <c r="A198" s="59" t="s">
        <v>182</v>
      </c>
      <c r="B198" s="60">
        <v>44787</v>
      </c>
      <c r="C198" s="54">
        <v>104.13870506537688</v>
      </c>
      <c r="D198" s="54">
        <v>104.13870506537688</v>
      </c>
    </row>
    <row r="199" spans="1:4" x14ac:dyDescent="0.35">
      <c r="A199" s="59" t="s">
        <v>182</v>
      </c>
      <c r="B199" s="60">
        <v>44794</v>
      </c>
      <c r="C199" s="54">
        <v>102.73754683518411</v>
      </c>
      <c r="D199" s="54">
        <v>102.73754683518411</v>
      </c>
    </row>
    <row r="200" spans="1:4" x14ac:dyDescent="0.35">
      <c r="A200" s="59" t="s">
        <v>182</v>
      </c>
      <c r="B200" s="60">
        <v>44801</v>
      </c>
      <c r="C200" s="54">
        <v>101.52978503657798</v>
      </c>
      <c r="D200" s="54">
        <v>101.52978503657798</v>
      </c>
    </row>
    <row r="201" spans="1:4" x14ac:dyDescent="0.35">
      <c r="A201" s="59" t="s">
        <v>182</v>
      </c>
      <c r="B201" s="60">
        <v>44808</v>
      </c>
      <c r="C201" s="54">
        <v>100.54032268212687</v>
      </c>
      <c r="D201" s="54">
        <v>100.54032268212687</v>
      </c>
    </row>
    <row r="202" spans="1:4" x14ac:dyDescent="0.35">
      <c r="A202" s="59" t="s">
        <v>182</v>
      </c>
      <c r="B202" s="60">
        <v>44815</v>
      </c>
      <c r="C202" s="54">
        <v>99.790879486935808</v>
      </c>
      <c r="D202" s="54">
        <v>99.790879486935808</v>
      </c>
    </row>
    <row r="203" spans="1:4" x14ac:dyDescent="0.35">
      <c r="A203" s="59" t="s">
        <v>182</v>
      </c>
      <c r="B203" s="60">
        <v>44822</v>
      </c>
      <c r="C203" s="54">
        <v>99.299675146291705</v>
      </c>
      <c r="D203" s="54">
        <v>99.299675146291705</v>
      </c>
    </row>
    <row r="204" spans="1:4" x14ac:dyDescent="0.35">
      <c r="A204" s="59" t="s">
        <v>182</v>
      </c>
      <c r="B204" s="60">
        <v>44829</v>
      </c>
      <c r="C204" s="54">
        <v>99.08116365147896</v>
      </c>
      <c r="D204" s="54">
        <v>99.08116365147896</v>
      </c>
    </row>
    <row r="205" spans="1:4" x14ac:dyDescent="0.35">
      <c r="A205" s="59" t="s">
        <v>182</v>
      </c>
      <c r="B205" s="60">
        <v>44836</v>
      </c>
      <c r="C205" s="54">
        <v>99.145822518038926</v>
      </c>
      <c r="D205" s="54">
        <v>99.145822518038926</v>
      </c>
    </row>
    <row r="206" spans="1:4" x14ac:dyDescent="0.35">
      <c r="A206" s="59" t="s">
        <v>182</v>
      </c>
      <c r="B206" s="60">
        <v>44843</v>
      </c>
      <c r="C206" s="54">
        <v>99.5</v>
      </c>
      <c r="D206" s="54">
        <v>99.5</v>
      </c>
    </row>
    <row r="207" spans="1:4" x14ac:dyDescent="0.35">
      <c r="A207" s="59" t="s">
        <v>182</v>
      </c>
      <c r="B207" s="60">
        <v>44850</v>
      </c>
      <c r="C207" s="54">
        <v>100.14582251803893</v>
      </c>
      <c r="D207" s="54">
        <v>100.14582251803893</v>
      </c>
    </row>
    <row r="208" spans="1:4" x14ac:dyDescent="0.35">
      <c r="A208" s="59" t="s">
        <v>182</v>
      </c>
      <c r="B208" s="60">
        <v>44857</v>
      </c>
      <c r="C208" s="54">
        <v>101.08116365147896</v>
      </c>
      <c r="D208" s="54">
        <v>101.08116365147896</v>
      </c>
    </row>
    <row r="209" spans="1:4" x14ac:dyDescent="0.35">
      <c r="A209" s="59" t="s">
        <v>182</v>
      </c>
      <c r="B209" s="60">
        <v>44864</v>
      </c>
      <c r="C209" s="54">
        <v>102.2996751462917</v>
      </c>
      <c r="D209" s="54">
        <v>102.2996751462917</v>
      </c>
    </row>
    <row r="210" spans="1:4" x14ac:dyDescent="0.35">
      <c r="A210" s="59" t="s">
        <v>182</v>
      </c>
      <c r="B210" s="60">
        <v>44871</v>
      </c>
      <c r="C210" s="54">
        <v>103.79087948693579</v>
      </c>
      <c r="D210" s="54">
        <v>103.79087948693579</v>
      </c>
    </row>
    <row r="211" spans="1:4" x14ac:dyDescent="0.35">
      <c r="A211" s="59" t="s">
        <v>182</v>
      </c>
      <c r="B211" s="60">
        <v>44878</v>
      </c>
      <c r="C211" s="54">
        <v>105.54032268212686</v>
      </c>
      <c r="D211" s="54">
        <v>105.54032268212686</v>
      </c>
    </row>
    <row r="212" spans="1:4" x14ac:dyDescent="0.35">
      <c r="A212" s="59" t="s">
        <v>182</v>
      </c>
      <c r="B212" s="60">
        <v>44885</v>
      </c>
      <c r="C212" s="54">
        <v>107.52978503657798</v>
      </c>
      <c r="D212" s="54">
        <v>107.52978503657798</v>
      </c>
    </row>
    <row r="213" spans="1:4" x14ac:dyDescent="0.35">
      <c r="A213" s="59" t="s">
        <v>182</v>
      </c>
      <c r="B213" s="60">
        <v>44892</v>
      </c>
      <c r="C213" s="54">
        <v>109.73754683518409</v>
      </c>
      <c r="D213" s="54">
        <v>109.73754683518409</v>
      </c>
    </row>
    <row r="214" spans="1:4" x14ac:dyDescent="0.35">
      <c r="A214" s="59" t="s">
        <v>182</v>
      </c>
      <c r="B214" s="60">
        <v>44899</v>
      </c>
      <c r="C214" s="54">
        <v>112.13870506537688</v>
      </c>
      <c r="D214" s="54">
        <v>112.13870506537688</v>
      </c>
    </row>
    <row r="215" spans="1:4" x14ac:dyDescent="0.35">
      <c r="A215" s="59" t="s">
        <v>182</v>
      </c>
      <c r="B215" s="60">
        <v>44906</v>
      </c>
      <c r="C215" s="54">
        <v>114.70553655912462</v>
      </c>
      <c r="D215" s="54">
        <v>114.70553655912462</v>
      </c>
    </row>
    <row r="216" spans="1:4" x14ac:dyDescent="0.35">
      <c r="A216" s="59" t="s">
        <v>182</v>
      </c>
      <c r="B216" s="60">
        <v>44913</v>
      </c>
      <c r="C216" s="54">
        <v>117.40790225914928</v>
      </c>
      <c r="D216" s="54">
        <v>117.40790225914928</v>
      </c>
    </row>
    <row r="217" spans="1:4" x14ac:dyDescent="0.35">
      <c r="A217" s="59" t="s">
        <v>182</v>
      </c>
      <c r="B217" s="60">
        <v>44920</v>
      </c>
      <c r="C217" s="54">
        <v>120.21368671424884</v>
      </c>
      <c r="D217" s="54">
        <v>120.21368671424884</v>
      </c>
    </row>
    <row r="218" spans="1:4" x14ac:dyDescent="0.35">
      <c r="A218" s="59" t="s">
        <v>182</v>
      </c>
      <c r="B218" s="60">
        <v>44927</v>
      </c>
      <c r="C218" s="54">
        <v>123.08926639489353</v>
      </c>
      <c r="D218" s="54">
        <v>123.08926639489353</v>
      </c>
    </row>
    <row r="219" spans="1:4" x14ac:dyDescent="0.35">
      <c r="A219" s="59" t="s">
        <v>182</v>
      </c>
      <c r="B219" s="60">
        <v>44934</v>
      </c>
      <c r="C219" s="54">
        <v>126.00000000000001</v>
      </c>
      <c r="D219" s="54">
        <v>126.00000000000001</v>
      </c>
    </row>
    <row r="220" spans="1:4" x14ac:dyDescent="0.35">
      <c r="A220" s="59" t="s">
        <v>182</v>
      </c>
      <c r="B220" s="60">
        <v>44941</v>
      </c>
      <c r="C220" s="54">
        <v>128.91073360510646</v>
      </c>
      <c r="D220" s="54">
        <v>128.91073360510646</v>
      </c>
    </row>
    <row r="221" spans="1:4" x14ac:dyDescent="0.35">
      <c r="A221" s="59" t="s">
        <v>182</v>
      </c>
      <c r="B221" s="60">
        <v>44948</v>
      </c>
      <c r="C221" s="54">
        <v>131.78631328575113</v>
      </c>
      <c r="D221" s="54">
        <v>131.78631328575113</v>
      </c>
    </row>
    <row r="222" spans="1:4" x14ac:dyDescent="0.35">
      <c r="A222" s="59" t="s">
        <v>182</v>
      </c>
      <c r="B222" s="60">
        <v>44955</v>
      </c>
      <c r="C222" s="54">
        <v>134.5920977408507</v>
      </c>
      <c r="D222" s="54">
        <v>134.5920977408507</v>
      </c>
    </row>
    <row r="223" spans="1:4" x14ac:dyDescent="0.35">
      <c r="A223" s="59" t="s">
        <v>182</v>
      </c>
      <c r="B223" s="60">
        <v>44962</v>
      </c>
      <c r="C223" s="54">
        <v>137.29446344087535</v>
      </c>
      <c r="D223" s="54">
        <v>137.29446344087535</v>
      </c>
    </row>
    <row r="224" spans="1:4" x14ac:dyDescent="0.35">
      <c r="A224" s="59" t="s">
        <v>182</v>
      </c>
      <c r="B224" s="60">
        <v>44969</v>
      </c>
      <c r="C224" s="54">
        <v>139.86129493462312</v>
      </c>
      <c r="D224" s="54">
        <v>139.86129493462312</v>
      </c>
    </row>
    <row r="225" spans="1:4" x14ac:dyDescent="0.35">
      <c r="A225" s="59" t="s">
        <v>182</v>
      </c>
      <c r="B225" s="60">
        <v>44976</v>
      </c>
      <c r="C225" s="54">
        <v>142.26245316481589</v>
      </c>
      <c r="D225" s="54">
        <v>142.26245316481589</v>
      </c>
    </row>
    <row r="226" spans="1:4" x14ac:dyDescent="0.35">
      <c r="A226" s="59" t="s">
        <v>182</v>
      </c>
      <c r="B226" s="60">
        <v>44983</v>
      </c>
      <c r="C226" s="54">
        <v>144.47021496342202</v>
      </c>
      <c r="D226" s="54">
        <v>144.47021496342202</v>
      </c>
    </row>
    <row r="227" spans="1:4" x14ac:dyDescent="0.35">
      <c r="A227" s="59" t="s">
        <v>182</v>
      </c>
      <c r="B227" s="60">
        <v>44990</v>
      </c>
      <c r="C227" s="54">
        <v>146.45967731787312</v>
      </c>
      <c r="D227" s="54">
        <v>146.45967731787312</v>
      </c>
    </row>
    <row r="228" spans="1:4" x14ac:dyDescent="0.35">
      <c r="A228" s="59" t="s">
        <v>182</v>
      </c>
      <c r="B228" s="60">
        <v>44997</v>
      </c>
      <c r="C228" s="54">
        <v>148.20912051306419</v>
      </c>
      <c r="D228" s="54">
        <v>148.20912051306419</v>
      </c>
    </row>
    <row r="229" spans="1:4" x14ac:dyDescent="0.35">
      <c r="A229" s="59" t="s">
        <v>182</v>
      </c>
      <c r="B229" s="60">
        <v>45004</v>
      </c>
      <c r="C229" s="54">
        <v>149.70032485370831</v>
      </c>
      <c r="D229" s="54">
        <v>149.70032485370831</v>
      </c>
    </row>
    <row r="230" spans="1:4" x14ac:dyDescent="0.35">
      <c r="A230" s="59" t="s">
        <v>182</v>
      </c>
      <c r="B230" s="60">
        <v>45011</v>
      </c>
      <c r="C230" s="54">
        <v>150.91883634852104</v>
      </c>
      <c r="D230" s="54">
        <v>150.91883634852104</v>
      </c>
    </row>
    <row r="231" spans="1:4" x14ac:dyDescent="0.35">
      <c r="A231" s="59" t="s">
        <v>182</v>
      </c>
      <c r="B231" s="60">
        <v>45018</v>
      </c>
      <c r="C231" s="54">
        <v>151.85417748196107</v>
      </c>
      <c r="D231" s="54">
        <v>151.85417748196107</v>
      </c>
    </row>
    <row r="232" spans="1:4" x14ac:dyDescent="0.35">
      <c r="A232" s="59" t="s">
        <v>182</v>
      </c>
      <c r="B232" s="60">
        <v>45025</v>
      </c>
      <c r="C232" s="54">
        <v>152.5</v>
      </c>
      <c r="D232" s="54">
        <v>152.5</v>
      </c>
    </row>
    <row r="233" spans="1:4" x14ac:dyDescent="0.35">
      <c r="A233" s="59" t="s">
        <v>182</v>
      </c>
      <c r="B233" s="60">
        <v>45032</v>
      </c>
      <c r="C233" s="54">
        <v>152.85417748196107</v>
      </c>
      <c r="D233" s="54">
        <v>152.85417748196107</v>
      </c>
    </row>
    <row r="234" spans="1:4" x14ac:dyDescent="0.35">
      <c r="A234" s="59" t="s">
        <v>182</v>
      </c>
      <c r="B234" s="60">
        <v>45039</v>
      </c>
      <c r="C234" s="54">
        <v>152.91883634852104</v>
      </c>
      <c r="D234" s="54">
        <v>152.91883634852104</v>
      </c>
    </row>
    <row r="235" spans="1:4" x14ac:dyDescent="0.35">
      <c r="A235" s="59" t="s">
        <v>182</v>
      </c>
      <c r="B235" s="60">
        <v>45046</v>
      </c>
      <c r="C235" s="54">
        <v>152.70032485370831</v>
      </c>
      <c r="D235" s="54">
        <v>152.70032485370831</v>
      </c>
    </row>
    <row r="236" spans="1:4" x14ac:dyDescent="0.35">
      <c r="A236" s="59" t="s">
        <v>182</v>
      </c>
      <c r="B236" s="60">
        <v>45053</v>
      </c>
      <c r="C236" s="54">
        <v>152.20912051306419</v>
      </c>
      <c r="D236" s="54">
        <v>152.20912051306419</v>
      </c>
    </row>
    <row r="237" spans="1:4" x14ac:dyDescent="0.35">
      <c r="A237" s="59" t="s">
        <v>182</v>
      </c>
      <c r="B237" s="60">
        <v>45060</v>
      </c>
      <c r="C237" s="54">
        <v>151.45967731787314</v>
      </c>
      <c r="D237" s="54">
        <v>151.45967731787314</v>
      </c>
    </row>
    <row r="238" spans="1:4" x14ac:dyDescent="0.35">
      <c r="A238" s="59" t="s">
        <v>182</v>
      </c>
      <c r="B238" s="60">
        <v>45067</v>
      </c>
      <c r="C238" s="54">
        <v>150.47021496342202</v>
      </c>
      <c r="D238" s="54">
        <v>150.47021496342202</v>
      </c>
    </row>
    <row r="239" spans="1:4" x14ac:dyDescent="0.35">
      <c r="A239" s="59" t="s">
        <v>182</v>
      </c>
      <c r="B239" s="60">
        <v>45074</v>
      </c>
      <c r="C239" s="54">
        <v>149.26245316481592</v>
      </c>
      <c r="D239" s="54">
        <v>149.26245316481592</v>
      </c>
    </row>
    <row r="240" spans="1:4" x14ac:dyDescent="0.35">
      <c r="A240" s="59" t="s">
        <v>182</v>
      </c>
      <c r="B240" s="60">
        <v>45081</v>
      </c>
      <c r="C240" s="54">
        <v>147.86129493462315</v>
      </c>
      <c r="D240" s="54">
        <v>147.86129493462315</v>
      </c>
    </row>
    <row r="241" spans="1:4" x14ac:dyDescent="0.35">
      <c r="A241" s="59" t="s">
        <v>182</v>
      </c>
      <c r="B241" s="60">
        <v>45088</v>
      </c>
      <c r="C241" s="54">
        <v>146.29446344087538</v>
      </c>
      <c r="D241" s="54">
        <v>146.29446344087538</v>
      </c>
    </row>
    <row r="242" spans="1:4" x14ac:dyDescent="0.35">
      <c r="A242" s="59" t="s">
        <v>182</v>
      </c>
      <c r="B242" s="60">
        <v>45095</v>
      </c>
      <c r="C242" s="54">
        <v>144.59209774085073</v>
      </c>
      <c r="D242" s="54">
        <v>144.59209774085073</v>
      </c>
    </row>
    <row r="243" spans="1:4" x14ac:dyDescent="0.35">
      <c r="A243" s="59" t="s">
        <v>182</v>
      </c>
      <c r="B243" s="60">
        <v>45102</v>
      </c>
      <c r="C243" s="54">
        <v>142.78631328575116</v>
      </c>
      <c r="D243" s="54">
        <v>142.78631328575116</v>
      </c>
    </row>
    <row r="244" spans="1:4" x14ac:dyDescent="0.35">
      <c r="A244" s="59" t="s">
        <v>182</v>
      </c>
      <c r="B244" s="60">
        <v>45109</v>
      </c>
      <c r="C244" s="54">
        <v>140.91073360510646</v>
      </c>
      <c r="D244" s="54">
        <v>140.91073360510646</v>
      </c>
    </row>
    <row r="245" spans="1:4" x14ac:dyDescent="0.35">
      <c r="A245" s="59" t="s">
        <v>182</v>
      </c>
      <c r="B245" s="60">
        <v>45116</v>
      </c>
      <c r="C245" s="54">
        <v>139</v>
      </c>
      <c r="D245" s="54">
        <v>139</v>
      </c>
    </row>
    <row r="246" spans="1:4" x14ac:dyDescent="0.35">
      <c r="A246" s="59" t="s">
        <v>182</v>
      </c>
      <c r="B246" s="60">
        <v>45123</v>
      </c>
      <c r="C246" s="54">
        <v>137.08926639489351</v>
      </c>
      <c r="D246" s="54">
        <v>137.08926639489351</v>
      </c>
    </row>
    <row r="247" spans="1:4" x14ac:dyDescent="0.35">
      <c r="A247" s="59" t="s">
        <v>182</v>
      </c>
      <c r="B247" s="60">
        <v>45130</v>
      </c>
      <c r="C247" s="54">
        <v>135.21368671424884</v>
      </c>
      <c r="D247" s="54">
        <v>135.21368671424884</v>
      </c>
    </row>
    <row r="248" spans="1:4" x14ac:dyDescent="0.35">
      <c r="A248" s="59" t="s">
        <v>182</v>
      </c>
      <c r="B248" s="60">
        <v>45137</v>
      </c>
      <c r="C248" s="54">
        <v>133.4079022591493</v>
      </c>
      <c r="D248" s="54">
        <v>133.4079022591493</v>
      </c>
    </row>
    <row r="249" spans="1:4" x14ac:dyDescent="0.35">
      <c r="A249" s="59" t="s">
        <v>182</v>
      </c>
      <c r="B249" s="60">
        <v>45144</v>
      </c>
      <c r="C249" s="54">
        <v>131.70553655912465</v>
      </c>
      <c r="D249" s="54">
        <v>131.70553655912465</v>
      </c>
    </row>
    <row r="250" spans="1:4" x14ac:dyDescent="0.35">
      <c r="A250" s="59" t="s">
        <v>182</v>
      </c>
      <c r="B250" s="60">
        <v>45151</v>
      </c>
      <c r="C250" s="54">
        <v>130.13870506537688</v>
      </c>
      <c r="D250" s="54">
        <v>130.13870506537688</v>
      </c>
    </row>
    <row r="251" spans="1:4" x14ac:dyDescent="0.35">
      <c r="A251" s="59" t="s">
        <v>182</v>
      </c>
      <c r="B251" s="60">
        <v>45158</v>
      </c>
      <c r="C251" s="54">
        <v>128.73754683518411</v>
      </c>
      <c r="D251" s="54">
        <v>128.73754683518411</v>
      </c>
    </row>
    <row r="252" spans="1:4" x14ac:dyDescent="0.35">
      <c r="A252" s="59" t="s">
        <v>182</v>
      </c>
      <c r="B252" s="60">
        <v>45165</v>
      </c>
      <c r="C252" s="54">
        <v>127.52978503657799</v>
      </c>
      <c r="D252" s="54">
        <v>127.52978503657799</v>
      </c>
    </row>
    <row r="253" spans="1:4" x14ac:dyDescent="0.35">
      <c r="A253" s="59" t="s">
        <v>182</v>
      </c>
      <c r="B253" s="60">
        <v>45172</v>
      </c>
      <c r="C253" s="54">
        <v>126.54032268212688</v>
      </c>
      <c r="D253" s="54">
        <v>126.54032268212688</v>
      </c>
    </row>
    <row r="254" spans="1:4" x14ac:dyDescent="0.35">
      <c r="A254" s="59" t="s">
        <v>182</v>
      </c>
      <c r="B254" s="60">
        <v>45179</v>
      </c>
      <c r="C254" s="54">
        <v>125.79087948693582</v>
      </c>
      <c r="D254" s="54">
        <v>125.79087948693582</v>
      </c>
    </row>
    <row r="255" spans="1:4" x14ac:dyDescent="0.35">
      <c r="A255" s="59" t="s">
        <v>182</v>
      </c>
      <c r="B255" s="60">
        <v>45186</v>
      </c>
      <c r="C255" s="54">
        <v>125.29967514629172</v>
      </c>
      <c r="D255" s="54">
        <v>125.29967514629172</v>
      </c>
    </row>
    <row r="256" spans="1:4" x14ac:dyDescent="0.35">
      <c r="A256" s="59" t="s">
        <v>182</v>
      </c>
      <c r="B256" s="60">
        <v>45193</v>
      </c>
      <c r="C256" s="54">
        <v>125.08116365147896</v>
      </c>
      <c r="D256" s="54">
        <v>125.08116365147896</v>
      </c>
    </row>
    <row r="257" spans="1:4" x14ac:dyDescent="0.35">
      <c r="A257" s="59" t="s">
        <v>182</v>
      </c>
      <c r="B257" s="60">
        <v>45200</v>
      </c>
      <c r="C257" s="54">
        <v>125.14582251803893</v>
      </c>
      <c r="D257" s="54">
        <v>125.14582251803893</v>
      </c>
    </row>
    <row r="258" spans="1:4" x14ac:dyDescent="0.35">
      <c r="A258" s="59" t="s">
        <v>182</v>
      </c>
      <c r="B258" s="60">
        <v>45207</v>
      </c>
      <c r="C258" s="54">
        <v>125.5</v>
      </c>
      <c r="D258" s="54">
        <v>125.5</v>
      </c>
    </row>
    <row r="259" spans="1:4" x14ac:dyDescent="0.35">
      <c r="A259" s="59" t="s">
        <v>182</v>
      </c>
      <c r="B259" s="60">
        <v>45214</v>
      </c>
      <c r="C259" s="54">
        <v>126.14582251803893</v>
      </c>
      <c r="D259" s="54">
        <v>126.14582251803893</v>
      </c>
    </row>
    <row r="260" spans="1:4" x14ac:dyDescent="0.35">
      <c r="A260" s="59" t="s">
        <v>182</v>
      </c>
      <c r="B260" s="60">
        <v>45221</v>
      </c>
      <c r="C260" s="54">
        <v>127.08116365147896</v>
      </c>
      <c r="D260" s="54">
        <v>127.08116365147896</v>
      </c>
    </row>
    <row r="261" spans="1:4" x14ac:dyDescent="0.35">
      <c r="A261" s="59" t="s">
        <v>182</v>
      </c>
      <c r="B261" s="60">
        <v>45228</v>
      </c>
      <c r="C261" s="54">
        <v>128.29967514629169</v>
      </c>
      <c r="D261" s="54">
        <v>128.29967514629169</v>
      </c>
    </row>
    <row r="262" spans="1:4" x14ac:dyDescent="0.35">
      <c r="A262" s="59" t="s">
        <v>182</v>
      </c>
      <c r="B262" s="60">
        <v>45235</v>
      </c>
      <c r="C262" s="54">
        <v>129.79087948693581</v>
      </c>
      <c r="D262" s="54">
        <v>129.79087948693581</v>
      </c>
    </row>
    <row r="263" spans="1:4" x14ac:dyDescent="0.35">
      <c r="A263" s="59" t="s">
        <v>182</v>
      </c>
      <c r="B263" s="60">
        <v>45242</v>
      </c>
      <c r="C263" s="54">
        <v>131.54032268212688</v>
      </c>
      <c r="D263" s="54">
        <v>131.54032268212688</v>
      </c>
    </row>
    <row r="264" spans="1:4" x14ac:dyDescent="0.35">
      <c r="A264" s="59" t="s">
        <v>182</v>
      </c>
      <c r="B264" s="60">
        <v>45249</v>
      </c>
      <c r="C264" s="54">
        <v>133.52978503657798</v>
      </c>
      <c r="D264" s="54">
        <v>133.52978503657798</v>
      </c>
    </row>
    <row r="265" spans="1:4" x14ac:dyDescent="0.35">
      <c r="A265" s="59" t="s">
        <v>182</v>
      </c>
      <c r="B265" s="60">
        <v>45256</v>
      </c>
      <c r="C265" s="54">
        <v>135.73754683518408</v>
      </c>
      <c r="D265" s="54">
        <v>135.73754683518408</v>
      </c>
    </row>
    <row r="266" spans="1:4" x14ac:dyDescent="0.35">
      <c r="A266" s="59" t="s">
        <v>182</v>
      </c>
      <c r="B266" s="60">
        <v>45263</v>
      </c>
      <c r="C266" s="54">
        <v>138.13870506537688</v>
      </c>
      <c r="D266" s="54">
        <v>138.13870506537688</v>
      </c>
    </row>
    <row r="267" spans="1:4" x14ac:dyDescent="0.35">
      <c r="A267" s="59" t="s">
        <v>182</v>
      </c>
      <c r="B267" s="60">
        <v>45270</v>
      </c>
      <c r="C267" s="54">
        <v>140.70553655912462</v>
      </c>
      <c r="D267" s="54">
        <v>140.70553655912462</v>
      </c>
    </row>
    <row r="268" spans="1:4" x14ac:dyDescent="0.35">
      <c r="A268" s="59" t="s">
        <v>182</v>
      </c>
      <c r="B268" s="60">
        <v>45277</v>
      </c>
      <c r="C268" s="54">
        <v>143.40790225914927</v>
      </c>
      <c r="D268" s="54">
        <v>143.40790225914927</v>
      </c>
    </row>
    <row r="269" spans="1:4" x14ac:dyDescent="0.35">
      <c r="A269" s="59" t="s">
        <v>182</v>
      </c>
      <c r="B269" s="60">
        <v>45284</v>
      </c>
      <c r="C269" s="54">
        <v>146.21368671424881</v>
      </c>
      <c r="D269" s="54">
        <v>146.21368671424881</v>
      </c>
    </row>
    <row r="270" spans="1:4" x14ac:dyDescent="0.35">
      <c r="A270" s="59" t="s">
        <v>182</v>
      </c>
      <c r="B270" s="60">
        <v>45291</v>
      </c>
      <c r="C270" s="54">
        <v>149.08926639489351</v>
      </c>
      <c r="D270" s="54">
        <v>149.08926639489351</v>
      </c>
    </row>
    <row r="271" spans="1:4" x14ac:dyDescent="0.35">
      <c r="A271" s="59" t="s">
        <v>182</v>
      </c>
      <c r="B271" s="60">
        <v>45298</v>
      </c>
      <c r="C271" s="54">
        <v>152.00000000000003</v>
      </c>
      <c r="D271" s="54">
        <v>152.00000000000003</v>
      </c>
    </row>
    <row r="272" spans="1:4" x14ac:dyDescent="0.35">
      <c r="A272" s="59" t="s">
        <v>182</v>
      </c>
      <c r="B272" s="60">
        <v>45305</v>
      </c>
      <c r="C272" s="54">
        <v>154.91073360510649</v>
      </c>
      <c r="D272" s="54">
        <v>154.91073360510649</v>
      </c>
    </row>
    <row r="273" spans="1:4" x14ac:dyDescent="0.35">
      <c r="A273" s="59" t="s">
        <v>182</v>
      </c>
      <c r="B273" s="60">
        <v>45312</v>
      </c>
      <c r="C273" s="54">
        <v>157.78631328575116</v>
      </c>
      <c r="D273" s="54">
        <v>157.78631328575116</v>
      </c>
    </row>
    <row r="274" spans="1:4" x14ac:dyDescent="0.35">
      <c r="A274" s="59" t="s">
        <v>182</v>
      </c>
      <c r="B274" s="60">
        <v>45319</v>
      </c>
      <c r="C274" s="54">
        <v>160.5920977408507</v>
      </c>
      <c r="D274" s="54">
        <v>160.5920977408507</v>
      </c>
    </row>
    <row r="275" spans="1:4" x14ac:dyDescent="0.35">
      <c r="A275" s="59" t="s">
        <v>182</v>
      </c>
      <c r="B275" s="60">
        <v>45326</v>
      </c>
      <c r="C275" s="54">
        <v>163.29446344087535</v>
      </c>
      <c r="D275" s="54">
        <v>163.29446344087535</v>
      </c>
    </row>
    <row r="276" spans="1:4" x14ac:dyDescent="0.35">
      <c r="A276" s="59" t="s">
        <v>182</v>
      </c>
      <c r="B276" s="60">
        <v>45333</v>
      </c>
      <c r="C276" s="54">
        <v>165.86129493462309</v>
      </c>
      <c r="D276" s="54">
        <v>165.86129493462309</v>
      </c>
    </row>
    <row r="277" spans="1:4" x14ac:dyDescent="0.35">
      <c r="A277" s="59" t="s">
        <v>182</v>
      </c>
      <c r="B277" s="60">
        <v>45340</v>
      </c>
      <c r="C277" s="54">
        <v>168.26245316481589</v>
      </c>
      <c r="D277" s="54">
        <v>168.26245316481589</v>
      </c>
    </row>
    <row r="278" spans="1:4" x14ac:dyDescent="0.35">
      <c r="A278" s="59" t="s">
        <v>182</v>
      </c>
      <c r="B278" s="60">
        <v>45347</v>
      </c>
      <c r="C278" s="54">
        <v>170.47021496342202</v>
      </c>
      <c r="D278" s="54">
        <v>170.47021496342202</v>
      </c>
    </row>
    <row r="279" spans="1:4" x14ac:dyDescent="0.35">
      <c r="A279" s="59" t="s">
        <v>182</v>
      </c>
      <c r="B279" s="60">
        <v>45354</v>
      </c>
      <c r="C279" s="54">
        <v>172.45967731787312</v>
      </c>
      <c r="D279" s="54">
        <v>172.45967731787312</v>
      </c>
    </row>
    <row r="280" spans="1:4" x14ac:dyDescent="0.35">
      <c r="A280" s="59" t="s">
        <v>182</v>
      </c>
      <c r="B280" s="60">
        <v>45361</v>
      </c>
      <c r="C280" s="54">
        <v>174.20912051306419</v>
      </c>
      <c r="D280" s="54">
        <v>174.20912051306419</v>
      </c>
    </row>
    <row r="281" spans="1:4" x14ac:dyDescent="0.35">
      <c r="A281" s="59" t="s">
        <v>182</v>
      </c>
      <c r="B281" s="60">
        <v>45368</v>
      </c>
      <c r="C281" s="54">
        <v>175.70032485370828</v>
      </c>
      <c r="D281" s="54">
        <v>175.70032485370828</v>
      </c>
    </row>
    <row r="282" spans="1:4" x14ac:dyDescent="0.35">
      <c r="A282" s="59" t="s">
        <v>182</v>
      </c>
      <c r="B282" s="60">
        <v>45375</v>
      </c>
      <c r="C282" s="54">
        <v>176.91883634852104</v>
      </c>
      <c r="D282" s="54">
        <v>176.91883634852104</v>
      </c>
    </row>
    <row r="283" spans="1:4" x14ac:dyDescent="0.35">
      <c r="A283" s="59" t="s">
        <v>182</v>
      </c>
      <c r="B283" s="60">
        <v>45382</v>
      </c>
      <c r="C283" s="54">
        <v>177.85417748196107</v>
      </c>
      <c r="D283" s="54">
        <v>177.85417748196107</v>
      </c>
    </row>
    <row r="284" spans="1:4" x14ac:dyDescent="0.35">
      <c r="A284" s="59" t="s">
        <v>182</v>
      </c>
      <c r="B284" s="60">
        <v>45389</v>
      </c>
      <c r="C284" s="54">
        <v>178.5</v>
      </c>
      <c r="D284" s="54">
        <v>178.5</v>
      </c>
    </row>
    <row r="285" spans="1:4" x14ac:dyDescent="0.35">
      <c r="A285" s="59" t="s">
        <v>182</v>
      </c>
      <c r="B285" s="60">
        <v>45396</v>
      </c>
      <c r="C285" s="54">
        <v>178.85417748196107</v>
      </c>
      <c r="D285" s="54">
        <v>178.85417748196107</v>
      </c>
    </row>
    <row r="286" spans="1:4" x14ac:dyDescent="0.35">
      <c r="A286" s="59" t="s">
        <v>182</v>
      </c>
      <c r="B286" s="60">
        <v>45403</v>
      </c>
      <c r="C286" s="54">
        <v>178.91883634852104</v>
      </c>
      <c r="D286" s="54">
        <v>178.91883634852104</v>
      </c>
    </row>
    <row r="287" spans="1:4" x14ac:dyDescent="0.35">
      <c r="A287" s="59" t="s">
        <v>182</v>
      </c>
      <c r="B287" s="60">
        <v>45410</v>
      </c>
      <c r="C287" s="54">
        <v>178.70032485370831</v>
      </c>
      <c r="D287" s="54">
        <v>178.70032485370831</v>
      </c>
    </row>
    <row r="288" spans="1:4" x14ac:dyDescent="0.35">
      <c r="A288" s="59" t="s">
        <v>182</v>
      </c>
      <c r="B288" s="60">
        <v>45417</v>
      </c>
      <c r="C288" s="54">
        <v>178.20912051306419</v>
      </c>
      <c r="D288" s="54">
        <v>178.20912051306419</v>
      </c>
    </row>
    <row r="289" spans="1:4" x14ac:dyDescent="0.35">
      <c r="A289" s="59" t="s">
        <v>182</v>
      </c>
      <c r="B289" s="60">
        <v>45424</v>
      </c>
      <c r="C289" s="54">
        <v>177.45967731787312</v>
      </c>
      <c r="D289" s="54">
        <v>177.45967731787312</v>
      </c>
    </row>
    <row r="290" spans="1:4" x14ac:dyDescent="0.35">
      <c r="A290" s="59" t="s">
        <v>182</v>
      </c>
      <c r="B290" s="60">
        <v>45431</v>
      </c>
      <c r="C290" s="54">
        <v>176.47021496342202</v>
      </c>
      <c r="D290" s="54">
        <v>176.47021496342202</v>
      </c>
    </row>
    <row r="291" spans="1:4" x14ac:dyDescent="0.35">
      <c r="A291" s="59" t="s">
        <v>182</v>
      </c>
      <c r="B291" s="60">
        <v>45438</v>
      </c>
      <c r="C291" s="54">
        <v>175.26245316481592</v>
      </c>
      <c r="D291" s="54">
        <v>175.26245316481592</v>
      </c>
    </row>
    <row r="292" spans="1:4" x14ac:dyDescent="0.35">
      <c r="A292" s="59" t="s">
        <v>182</v>
      </c>
      <c r="B292" s="60">
        <v>45445</v>
      </c>
      <c r="C292" s="54">
        <v>173.86129493462315</v>
      </c>
      <c r="D292" s="54">
        <v>173.86129493462315</v>
      </c>
    </row>
    <row r="293" spans="1:4" x14ac:dyDescent="0.35">
      <c r="A293" s="59" t="s">
        <v>182</v>
      </c>
      <c r="B293" s="60">
        <v>45452</v>
      </c>
      <c r="C293" s="54">
        <v>172.29446344087538</v>
      </c>
      <c r="D293" s="54">
        <v>172.29446344087538</v>
      </c>
    </row>
    <row r="294" spans="1:4" x14ac:dyDescent="0.35">
      <c r="A294" s="59" t="s">
        <v>182</v>
      </c>
      <c r="B294" s="60">
        <v>45459</v>
      </c>
      <c r="C294" s="54">
        <v>170.59209774085073</v>
      </c>
      <c r="D294" s="54">
        <v>170.59209774085073</v>
      </c>
    </row>
    <row r="295" spans="1:4" x14ac:dyDescent="0.35">
      <c r="A295" s="59" t="s">
        <v>182</v>
      </c>
      <c r="B295" s="60">
        <v>45466</v>
      </c>
      <c r="C295" s="54">
        <v>168.78631328575119</v>
      </c>
      <c r="D295" s="54">
        <v>168.78631328575119</v>
      </c>
    </row>
    <row r="296" spans="1:4" x14ac:dyDescent="0.35">
      <c r="A296" s="59" t="s">
        <v>182</v>
      </c>
      <c r="B296" s="60">
        <v>45473</v>
      </c>
      <c r="C296" s="54">
        <v>166.91073360510649</v>
      </c>
      <c r="D296" s="54">
        <v>166.91073360510649</v>
      </c>
    </row>
    <row r="297" spans="1:4" x14ac:dyDescent="0.35">
      <c r="A297" s="59" t="s">
        <v>182</v>
      </c>
      <c r="B297" s="60">
        <v>45480</v>
      </c>
      <c r="C297" s="54">
        <v>165</v>
      </c>
      <c r="D297" s="54">
        <v>165</v>
      </c>
    </row>
    <row r="298" spans="1:4" x14ac:dyDescent="0.35">
      <c r="A298" s="59" t="s">
        <v>182</v>
      </c>
      <c r="B298" s="60">
        <v>45487</v>
      </c>
      <c r="C298" s="54">
        <v>163.08926639489351</v>
      </c>
      <c r="D298" s="54">
        <v>163.08926639489351</v>
      </c>
    </row>
    <row r="299" spans="1:4" x14ac:dyDescent="0.35">
      <c r="A299" s="59" t="s">
        <v>182</v>
      </c>
      <c r="B299" s="60">
        <v>45494</v>
      </c>
      <c r="C299" s="54">
        <v>161.21368671424884</v>
      </c>
      <c r="D299" s="54">
        <v>161.21368671424884</v>
      </c>
    </row>
    <row r="300" spans="1:4" x14ac:dyDescent="0.35">
      <c r="A300" s="59" t="s">
        <v>182</v>
      </c>
      <c r="B300" s="60">
        <v>45501</v>
      </c>
      <c r="C300" s="54">
        <v>159.4079022591493</v>
      </c>
      <c r="D300" s="54">
        <v>159.4079022591493</v>
      </c>
    </row>
    <row r="301" spans="1:4" x14ac:dyDescent="0.35">
      <c r="A301" s="59" t="s">
        <v>182</v>
      </c>
      <c r="B301" s="60">
        <v>45508</v>
      </c>
      <c r="C301" s="54">
        <v>157.70553655912462</v>
      </c>
      <c r="D301" s="54">
        <v>157.70553655912462</v>
      </c>
    </row>
    <row r="302" spans="1:4" x14ac:dyDescent="0.35">
      <c r="A302" s="59" t="s">
        <v>182</v>
      </c>
      <c r="B302" s="60">
        <v>45515</v>
      </c>
      <c r="C302" s="54">
        <v>156.13870506537691</v>
      </c>
      <c r="D302" s="54">
        <v>156.13870506537691</v>
      </c>
    </row>
    <row r="303" spans="1:4" x14ac:dyDescent="0.35">
      <c r="A303" s="59" t="s">
        <v>182</v>
      </c>
      <c r="B303" s="60">
        <v>45522</v>
      </c>
      <c r="C303" s="54">
        <v>154.73754683518411</v>
      </c>
      <c r="D303" s="54">
        <v>154.73754683518411</v>
      </c>
    </row>
    <row r="304" spans="1:4" x14ac:dyDescent="0.35">
      <c r="A304" s="59" t="s">
        <v>182</v>
      </c>
      <c r="B304" s="60">
        <v>45529</v>
      </c>
      <c r="C304" s="54">
        <v>153.52978503657798</v>
      </c>
      <c r="D304" s="54">
        <v>153.52978503657798</v>
      </c>
    </row>
    <row r="305" spans="1:4" x14ac:dyDescent="0.35">
      <c r="A305" s="59" t="s">
        <v>182</v>
      </c>
      <c r="B305" s="60">
        <v>45536</v>
      </c>
      <c r="C305" s="54">
        <v>152.54032268212688</v>
      </c>
      <c r="D305" s="54">
        <v>152.54032268212688</v>
      </c>
    </row>
    <row r="306" spans="1:4" x14ac:dyDescent="0.35">
      <c r="A306" s="59" t="s">
        <v>182</v>
      </c>
      <c r="B306" s="60">
        <v>45543</v>
      </c>
      <c r="C306" s="54">
        <v>151.79087948693581</v>
      </c>
      <c r="D306" s="54">
        <v>151.79087948693581</v>
      </c>
    </row>
    <row r="307" spans="1:4" x14ac:dyDescent="0.35">
      <c r="A307" s="59" t="s">
        <v>182</v>
      </c>
      <c r="B307" s="60">
        <v>45550</v>
      </c>
      <c r="C307" s="54">
        <v>151.29967514629172</v>
      </c>
      <c r="D307" s="54">
        <v>151.29967514629172</v>
      </c>
    </row>
    <row r="308" spans="1:4" x14ac:dyDescent="0.35">
      <c r="A308" s="59" t="s">
        <v>182</v>
      </c>
      <c r="B308" s="60">
        <v>45557</v>
      </c>
      <c r="C308" s="54">
        <v>151.08116365147896</v>
      </c>
      <c r="D308" s="54">
        <v>151.08116365147896</v>
      </c>
    </row>
    <row r="309" spans="1:4" x14ac:dyDescent="0.35">
      <c r="A309" s="59" t="s">
        <v>182</v>
      </c>
      <c r="B309" s="60">
        <v>45564</v>
      </c>
      <c r="C309" s="54">
        <v>151.14582251803893</v>
      </c>
      <c r="D309" s="54">
        <v>151.14582251803893</v>
      </c>
    </row>
    <row r="310" spans="1:4" x14ac:dyDescent="0.35">
      <c r="A310" s="59" t="s">
        <v>182</v>
      </c>
      <c r="B310" s="60">
        <v>45571</v>
      </c>
      <c r="C310" s="54">
        <v>151.5</v>
      </c>
      <c r="D310" s="54">
        <v>151.5</v>
      </c>
    </row>
    <row r="311" spans="1:4" x14ac:dyDescent="0.35">
      <c r="A311" s="59" t="s">
        <v>182</v>
      </c>
      <c r="B311" s="60">
        <v>45578</v>
      </c>
      <c r="C311" s="54">
        <v>152.14582251803893</v>
      </c>
      <c r="D311" s="54">
        <v>152.14582251803893</v>
      </c>
    </row>
    <row r="312" spans="1:4" x14ac:dyDescent="0.35">
      <c r="A312" s="59" t="s">
        <v>182</v>
      </c>
      <c r="B312" s="60">
        <v>45585</v>
      </c>
      <c r="C312" s="54">
        <v>153.08116365147896</v>
      </c>
      <c r="D312" s="54">
        <v>153.08116365147896</v>
      </c>
    </row>
    <row r="313" spans="1:4" x14ac:dyDescent="0.35">
      <c r="A313" s="59" t="s">
        <v>182</v>
      </c>
      <c r="B313" s="60">
        <v>45592</v>
      </c>
      <c r="C313" s="54">
        <v>154.29967514629169</v>
      </c>
      <c r="D313" s="54">
        <v>154.29967514629169</v>
      </c>
    </row>
    <row r="314" spans="1:4" x14ac:dyDescent="0.35">
      <c r="A314" s="59" t="s">
        <v>182</v>
      </c>
      <c r="B314" s="60">
        <v>45599</v>
      </c>
      <c r="C314" s="54">
        <v>155.79087948693581</v>
      </c>
      <c r="D314" s="54">
        <v>155.79087948693581</v>
      </c>
    </row>
    <row r="315" spans="1:4" x14ac:dyDescent="0.35">
      <c r="A315" s="59" t="s">
        <v>182</v>
      </c>
      <c r="B315" s="60">
        <v>45606</v>
      </c>
      <c r="C315" s="54">
        <v>157.54032268212688</v>
      </c>
      <c r="D315" s="54">
        <v>157.54032268212688</v>
      </c>
    </row>
    <row r="316" spans="1:4" x14ac:dyDescent="0.35">
      <c r="A316" s="59" t="s">
        <v>182</v>
      </c>
      <c r="B316" s="60">
        <v>45613</v>
      </c>
      <c r="C316" s="54">
        <v>159.52978503657795</v>
      </c>
      <c r="D316" s="54">
        <v>159.52978503657795</v>
      </c>
    </row>
    <row r="317" spans="1:4" x14ac:dyDescent="0.35">
      <c r="A317" s="59" t="s">
        <v>182</v>
      </c>
      <c r="B317" s="60">
        <v>45620</v>
      </c>
      <c r="C317" s="54">
        <v>161.73754683518408</v>
      </c>
      <c r="D317" s="54">
        <v>161.73754683518408</v>
      </c>
    </row>
    <row r="318" spans="1:4" x14ac:dyDescent="0.35">
      <c r="A318" s="59" t="s">
        <v>182</v>
      </c>
      <c r="B318" s="60">
        <v>45627</v>
      </c>
      <c r="C318" s="54">
        <v>164.13870506537688</v>
      </c>
      <c r="D318" s="54">
        <v>164.13870506537688</v>
      </c>
    </row>
    <row r="319" spans="1:4" x14ac:dyDescent="0.35">
      <c r="A319" s="59" t="s">
        <v>182</v>
      </c>
      <c r="B319" s="60">
        <v>45634</v>
      </c>
      <c r="C319" s="54">
        <v>166.7055365591246</v>
      </c>
      <c r="D319" s="54">
        <v>166.7055365591246</v>
      </c>
    </row>
    <row r="320" spans="1:4" x14ac:dyDescent="0.35">
      <c r="A320" s="59" t="s">
        <v>182</v>
      </c>
      <c r="B320" s="60">
        <v>45641</v>
      </c>
      <c r="C320" s="54">
        <v>169.40790225914927</v>
      </c>
      <c r="D320" s="54">
        <v>169.40790225914927</v>
      </c>
    </row>
    <row r="321" spans="1:4" x14ac:dyDescent="0.35">
      <c r="A321" s="59" t="s">
        <v>182</v>
      </c>
      <c r="B321" s="60">
        <v>45648</v>
      </c>
      <c r="C321" s="54">
        <v>172.21368671424887</v>
      </c>
      <c r="D321" s="54">
        <v>172.21368671424887</v>
      </c>
    </row>
    <row r="322" spans="1:4" x14ac:dyDescent="0.35">
      <c r="A322" s="59" t="s">
        <v>182</v>
      </c>
      <c r="B322" s="60">
        <v>45655</v>
      </c>
      <c r="C322" s="54">
        <v>175.08926639489351</v>
      </c>
      <c r="D322" s="54">
        <v>175.08926639489351</v>
      </c>
    </row>
    <row r="323" spans="1:4" x14ac:dyDescent="0.35">
      <c r="A323" s="59" t="s">
        <v>183</v>
      </c>
      <c r="B323" s="60">
        <v>44570</v>
      </c>
      <c r="C323" s="54">
        <v>109.93428306022466</v>
      </c>
      <c r="D323" s="54">
        <v>109.93428306022466</v>
      </c>
    </row>
    <row r="324" spans="1:4" x14ac:dyDescent="0.35">
      <c r="A324" s="59" t="s">
        <v>183</v>
      </c>
      <c r="B324" s="60">
        <v>44577</v>
      </c>
      <c r="C324" s="54">
        <v>100.14544758168276</v>
      </c>
      <c r="D324" s="54">
        <v>100.14544758168276</v>
      </c>
    </row>
    <row r="325" spans="1:4" x14ac:dyDescent="0.35">
      <c r="A325" s="59" t="s">
        <v>183</v>
      </c>
      <c r="B325" s="60">
        <v>44584</v>
      </c>
      <c r="C325" s="54">
        <v>118.740084047765</v>
      </c>
      <c r="D325" s="54">
        <v>118.740084047765</v>
      </c>
    </row>
    <row r="326" spans="1:4" x14ac:dyDescent="0.35">
      <c r="A326" s="59" t="s">
        <v>183</v>
      </c>
      <c r="B326" s="60">
        <v>44591</v>
      </c>
      <c r="C326" s="54">
        <v>139.05269486901122</v>
      </c>
      <c r="D326" s="54">
        <v>139.05269486901122</v>
      </c>
    </row>
    <row r="327" spans="1:4" x14ac:dyDescent="0.35">
      <c r="A327" s="59" t="s">
        <v>183</v>
      </c>
      <c r="B327" s="60">
        <v>44598</v>
      </c>
      <c r="C327" s="54">
        <v>106.61139594640866</v>
      </c>
      <c r="D327" s="54">
        <v>106.61139594640866</v>
      </c>
    </row>
    <row r="328" spans="1:4" x14ac:dyDescent="0.35">
      <c r="A328" s="59" t="s">
        <v>183</v>
      </c>
      <c r="B328" s="60">
        <v>44605</v>
      </c>
      <c r="C328" s="54">
        <v>109.17855579563951</v>
      </c>
      <c r="D328" s="54">
        <v>109.17855579563951</v>
      </c>
    </row>
    <row r="329" spans="1:4" x14ac:dyDescent="0.35">
      <c r="A329" s="59" t="s">
        <v>183</v>
      </c>
      <c r="B329" s="60">
        <v>44612</v>
      </c>
      <c r="C329" s="54">
        <v>147.84670947496375</v>
      </c>
      <c r="D329" s="54">
        <v>147.84670947496375</v>
      </c>
    </row>
    <row r="330" spans="1:4" x14ac:dyDescent="0.35">
      <c r="A330" s="59" t="s">
        <v>183</v>
      </c>
      <c r="B330" s="60">
        <v>44619</v>
      </c>
      <c r="C330" s="54">
        <v>133.8189095464802</v>
      </c>
      <c r="D330" s="54">
        <v>133.8189095464802</v>
      </c>
    </row>
    <row r="331" spans="1:4" x14ac:dyDescent="0.35">
      <c r="A331" s="59" t="s">
        <v>183</v>
      </c>
      <c r="B331" s="60">
        <v>44626</v>
      </c>
      <c r="C331" s="54">
        <v>111.07018959917409</v>
      </c>
      <c r="D331" s="54">
        <v>111.07018959917409</v>
      </c>
    </row>
    <row r="332" spans="1:4" x14ac:dyDescent="0.35">
      <c r="A332" s="59" t="s">
        <v>183</v>
      </c>
      <c r="B332" s="60">
        <v>44633</v>
      </c>
      <c r="C332" s="54">
        <v>133.06032138478349</v>
      </c>
      <c r="D332" s="54">
        <v>133.06032138478349</v>
      </c>
    </row>
    <row r="333" spans="1:4" x14ac:dyDescent="0.35">
      <c r="A333" s="59" t="s">
        <v>183</v>
      </c>
      <c r="B333" s="60">
        <v>44640</v>
      </c>
      <c r="C333" s="54">
        <v>114.43197099745905</v>
      </c>
      <c r="D333" s="54">
        <v>114.43197099745905</v>
      </c>
    </row>
    <row r="334" spans="1:4" x14ac:dyDescent="0.35">
      <c r="A334" s="59" t="s">
        <v>183</v>
      </c>
      <c r="B334" s="60">
        <v>44647</v>
      </c>
      <c r="C334" s="54">
        <v>115.6042412771159</v>
      </c>
      <c r="D334" s="54">
        <v>115.6042412771159</v>
      </c>
    </row>
    <row r="335" spans="1:4" x14ac:dyDescent="0.35">
      <c r="A335" s="59" t="s">
        <v>183</v>
      </c>
      <c r="B335" s="60">
        <v>44654</v>
      </c>
      <c r="C335" s="54">
        <v>130.69342291328175</v>
      </c>
      <c r="D335" s="54">
        <v>130.69342291328175</v>
      </c>
    </row>
    <row r="336" spans="1:4" x14ac:dyDescent="0.35">
      <c r="A336" s="59" t="s">
        <v>183</v>
      </c>
      <c r="B336" s="60">
        <v>44661</v>
      </c>
      <c r="C336" s="54">
        <v>88.234395106844033</v>
      </c>
      <c r="D336" s="54">
        <v>88.234395106844033</v>
      </c>
    </row>
    <row r="337" spans="1:4" x14ac:dyDescent="0.35">
      <c r="A337" s="59" t="s">
        <v>183</v>
      </c>
      <c r="B337" s="60">
        <v>44668</v>
      </c>
      <c r="C337" s="54">
        <v>92.355820831700413</v>
      </c>
      <c r="D337" s="54">
        <v>92.355820831700413</v>
      </c>
    </row>
    <row r="338" spans="1:4" x14ac:dyDescent="0.35">
      <c r="A338" s="59" t="s">
        <v>183</v>
      </c>
      <c r="B338" s="60">
        <v>44675</v>
      </c>
      <c r="C338" s="54">
        <v>115.67308576370158</v>
      </c>
      <c r="D338" s="54">
        <v>115.67308576370158</v>
      </c>
    </row>
    <row r="339" spans="1:4" x14ac:dyDescent="0.35">
      <c r="A339" s="59" t="s">
        <v>183</v>
      </c>
      <c r="B339" s="60">
        <v>44682</v>
      </c>
      <c r="C339" s="54">
        <v>106.44370244701982</v>
      </c>
      <c r="D339" s="54">
        <v>106.44370244701982</v>
      </c>
    </row>
    <row r="340" spans="1:4" x14ac:dyDescent="0.35">
      <c r="A340" s="59" t="s">
        <v>183</v>
      </c>
      <c r="B340" s="60">
        <v>44689</v>
      </c>
      <c r="C340" s="54">
        <v>132.49406716496966</v>
      </c>
      <c r="D340" s="54">
        <v>132.49406716496966</v>
      </c>
    </row>
    <row r="341" spans="1:4" x14ac:dyDescent="0.35">
      <c r="A341" s="59" t="s">
        <v>183</v>
      </c>
      <c r="B341" s="60">
        <v>44696</v>
      </c>
      <c r="C341" s="54">
        <v>107.29919580744891</v>
      </c>
      <c r="D341" s="54">
        <v>107.29919580744891</v>
      </c>
    </row>
    <row r="342" spans="1:4" x14ac:dyDescent="0.35">
      <c r="A342" s="59" t="s">
        <v>183</v>
      </c>
      <c r="B342" s="60">
        <v>44703</v>
      </c>
      <c r="C342" s="54">
        <v>96.224140936716196</v>
      </c>
      <c r="D342" s="54">
        <v>96.224140936716196</v>
      </c>
    </row>
    <row r="343" spans="1:4" x14ac:dyDescent="0.35">
      <c r="A343" s="59" t="s">
        <v>183</v>
      </c>
      <c r="B343" s="60">
        <v>44710</v>
      </c>
      <c r="C343" s="54">
        <v>152.575428543247</v>
      </c>
      <c r="D343" s="54">
        <v>152.575428543247</v>
      </c>
    </row>
    <row r="344" spans="1:4" x14ac:dyDescent="0.35">
      <c r="A344" s="59" t="s">
        <v>183</v>
      </c>
      <c r="B344" s="60">
        <v>44717</v>
      </c>
      <c r="C344" s="54">
        <v>117.34576892489241</v>
      </c>
      <c r="D344" s="54">
        <v>117.34576892489241</v>
      </c>
    </row>
    <row r="345" spans="1:4" x14ac:dyDescent="0.35">
      <c r="A345" s="59" t="s">
        <v>183</v>
      </c>
      <c r="B345" s="60">
        <v>44724</v>
      </c>
      <c r="C345" s="54">
        <v>121.64502753463385</v>
      </c>
      <c r="D345" s="54">
        <v>121.64502753463385</v>
      </c>
    </row>
    <row r="346" spans="1:4" x14ac:dyDescent="0.35">
      <c r="A346" s="59" t="s">
        <v>183</v>
      </c>
      <c r="B346" s="60">
        <v>44731</v>
      </c>
      <c r="C346" s="54">
        <v>90.097134016581577</v>
      </c>
      <c r="D346" s="54">
        <v>90.097134016581577</v>
      </c>
    </row>
    <row r="347" spans="1:4" x14ac:dyDescent="0.35">
      <c r="A347" s="59" t="s">
        <v>183</v>
      </c>
      <c r="B347" s="60">
        <v>44738</v>
      </c>
      <c r="C347" s="54">
        <v>105.8986587952475</v>
      </c>
      <c r="D347" s="54">
        <v>105.8986587952475</v>
      </c>
    </row>
    <row r="348" spans="1:4" x14ac:dyDescent="0.35">
      <c r="A348" s="59" t="s">
        <v>183</v>
      </c>
      <c r="B348" s="60">
        <v>44745</v>
      </c>
      <c r="C348" s="54">
        <v>117.12918539930378</v>
      </c>
      <c r="D348" s="54">
        <v>117.12918539930378</v>
      </c>
    </row>
    <row r="349" spans="1:4" x14ac:dyDescent="0.35">
      <c r="A349" s="59" t="s">
        <v>183</v>
      </c>
      <c r="B349" s="60">
        <v>44752</v>
      </c>
      <c r="C349" s="54">
        <v>89.980128451553952</v>
      </c>
      <c r="D349" s="54">
        <v>89.980128451553952</v>
      </c>
    </row>
    <row r="350" spans="1:4" x14ac:dyDescent="0.35">
      <c r="A350" s="59" t="s">
        <v>183</v>
      </c>
      <c r="B350" s="60">
        <v>44759</v>
      </c>
      <c r="C350" s="54">
        <v>118.60322676180698</v>
      </c>
      <c r="D350" s="54">
        <v>118.60322676180698</v>
      </c>
    </row>
    <row r="351" spans="1:4" x14ac:dyDescent="0.35">
      <c r="A351" s="59" t="s">
        <v>183</v>
      </c>
      <c r="B351" s="60">
        <v>44766</v>
      </c>
      <c r="C351" s="54">
        <v>97.200912915872749</v>
      </c>
      <c r="D351" s="54">
        <v>97.200912915872749</v>
      </c>
    </row>
    <row r="352" spans="1:4" x14ac:dyDescent="0.35">
      <c r="A352" s="59" t="s">
        <v>183</v>
      </c>
      <c r="B352" s="60">
        <v>44773</v>
      </c>
      <c r="C352" s="54">
        <v>101.57402726328374</v>
      </c>
      <c r="D352" s="54">
        <v>101.57402726328374</v>
      </c>
    </row>
    <row r="353" spans="1:4" x14ac:dyDescent="0.35">
      <c r="A353" s="59" t="s">
        <v>183</v>
      </c>
      <c r="B353" s="60">
        <v>44780</v>
      </c>
      <c r="C353" s="54">
        <v>93.671404314536701</v>
      </c>
      <c r="D353" s="54">
        <v>93.671404314536701</v>
      </c>
    </row>
    <row r="354" spans="1:4" x14ac:dyDescent="0.35">
      <c r="A354" s="59" t="s">
        <v>183</v>
      </c>
      <c r="B354" s="60">
        <v>44787</v>
      </c>
      <c r="C354" s="54">
        <v>141.18426875555565</v>
      </c>
      <c r="D354" s="54">
        <v>141.18426875555565</v>
      </c>
    </row>
    <row r="355" spans="1:4" x14ac:dyDescent="0.35">
      <c r="A355" s="59" t="s">
        <v>183</v>
      </c>
      <c r="B355" s="60">
        <v>44794</v>
      </c>
      <c r="C355" s="54">
        <v>102.46760234042543</v>
      </c>
      <c r="D355" s="54">
        <v>102.46760234042543</v>
      </c>
    </row>
    <row r="356" spans="1:4" x14ac:dyDescent="0.35">
      <c r="A356" s="59" t="s">
        <v>183</v>
      </c>
      <c r="B356" s="60">
        <v>44801</v>
      </c>
      <c r="C356" s="54">
        <v>80.375566457459968</v>
      </c>
      <c r="D356" s="54">
        <v>80.375566457459968</v>
      </c>
    </row>
    <row r="357" spans="1:4" x14ac:dyDescent="0.35">
      <c r="A357" s="59" t="s">
        <v>183</v>
      </c>
      <c r="B357" s="60">
        <v>44808</v>
      </c>
      <c r="C357" s="54">
        <v>116.99122092419066</v>
      </c>
      <c r="D357" s="54">
        <v>116.99122092419066</v>
      </c>
    </row>
    <row r="358" spans="1:4" x14ac:dyDescent="0.35">
      <c r="A358" s="59" t="s">
        <v>183</v>
      </c>
      <c r="B358" s="60">
        <v>44815</v>
      </c>
      <c r="C358" s="54">
        <v>75.374006487515359</v>
      </c>
      <c r="D358" s="54">
        <v>75.374006487515359</v>
      </c>
    </row>
    <row r="359" spans="1:4" x14ac:dyDescent="0.35">
      <c r="A359" s="59" t="s">
        <v>183</v>
      </c>
      <c r="B359" s="60">
        <v>44822</v>
      </c>
      <c r="C359" s="54">
        <v>103.47694704638681</v>
      </c>
      <c r="D359" s="54">
        <v>103.47694704638681</v>
      </c>
    </row>
    <row r="360" spans="1:4" x14ac:dyDescent="0.35">
      <c r="A360" s="59" t="s">
        <v>183</v>
      </c>
      <c r="B360" s="60">
        <v>44829</v>
      </c>
      <c r="C360" s="54">
        <v>59.887761173883447</v>
      </c>
      <c r="D360" s="54">
        <v>59.887761173883447</v>
      </c>
    </row>
    <row r="361" spans="1:4" x14ac:dyDescent="0.35">
      <c r="A361" s="59" t="s">
        <v>183</v>
      </c>
      <c r="B361" s="60">
        <v>44836</v>
      </c>
      <c r="C361" s="54">
        <v>72.582101540070312</v>
      </c>
      <c r="D361" s="54">
        <v>72.582101540070312</v>
      </c>
    </row>
    <row r="362" spans="1:4" x14ac:dyDescent="0.35">
      <c r="A362" s="59" t="s">
        <v>183</v>
      </c>
      <c r="B362" s="60">
        <v>44843</v>
      </c>
      <c r="C362" s="54">
        <v>103.43722471738246</v>
      </c>
      <c r="D362" s="54">
        <v>103.43722471738246</v>
      </c>
    </row>
    <row r="363" spans="1:4" x14ac:dyDescent="0.35">
      <c r="A363" s="59" t="s">
        <v>183</v>
      </c>
      <c r="B363" s="60">
        <v>44850</v>
      </c>
      <c r="C363" s="54">
        <v>114.91515411794714</v>
      </c>
      <c r="D363" s="54">
        <v>114.91515411794714</v>
      </c>
    </row>
    <row r="364" spans="1:4" x14ac:dyDescent="0.35">
      <c r="A364" s="59" t="s">
        <v>183</v>
      </c>
      <c r="B364" s="60">
        <v>44857</v>
      </c>
      <c r="C364" s="54">
        <v>104.50852927527836</v>
      </c>
      <c r="D364" s="54">
        <v>104.50852927527836</v>
      </c>
    </row>
    <row r="365" spans="1:4" x14ac:dyDescent="0.35">
      <c r="A365" s="59" t="s">
        <v>183</v>
      </c>
      <c r="B365" s="60">
        <v>44864</v>
      </c>
      <c r="C365" s="54">
        <v>99.986709498526892</v>
      </c>
      <c r="D365" s="54">
        <v>99.986709498526892</v>
      </c>
    </row>
    <row r="366" spans="1:4" x14ac:dyDescent="0.35">
      <c r="A366" s="59" t="s">
        <v>183</v>
      </c>
      <c r="B366" s="60">
        <v>44871</v>
      </c>
      <c r="C366" s="54">
        <v>97.768805575150012</v>
      </c>
      <c r="D366" s="54">
        <v>97.768805575150012</v>
      </c>
    </row>
    <row r="367" spans="1:4" x14ac:dyDescent="0.35">
      <c r="A367" s="59" t="s">
        <v>183</v>
      </c>
      <c r="B367" s="60">
        <v>44878</v>
      </c>
      <c r="C367" s="54">
        <v>75.969882874778307</v>
      </c>
      <c r="D367" s="54">
        <v>75.969882874778307</v>
      </c>
    </row>
    <row r="368" spans="1:4" x14ac:dyDescent="0.35">
      <c r="A368" s="59" t="s">
        <v>183</v>
      </c>
      <c r="B368" s="60">
        <v>44885</v>
      </c>
      <c r="C368" s="54">
        <v>93.132900868683805</v>
      </c>
      <c r="D368" s="54">
        <v>93.132900868683805</v>
      </c>
    </row>
    <row r="369" spans="1:4" x14ac:dyDescent="0.35">
      <c r="A369" s="59" t="s">
        <v>183</v>
      </c>
      <c r="B369" s="60">
        <v>44892</v>
      </c>
      <c r="C369" s="54">
        <v>100.52477141598834</v>
      </c>
      <c r="D369" s="54">
        <v>100.52477141598834</v>
      </c>
    </row>
    <row r="370" spans="1:4" x14ac:dyDescent="0.35">
      <c r="A370" s="59" t="s">
        <v>183</v>
      </c>
      <c r="B370" s="60">
        <v>44899</v>
      </c>
      <c r="C370" s="54">
        <v>133.28114958975519</v>
      </c>
      <c r="D370" s="54">
        <v>133.28114958975519</v>
      </c>
    </row>
    <row r="371" spans="1:4" x14ac:dyDescent="0.35">
      <c r="A371" s="59" t="s">
        <v>183</v>
      </c>
      <c r="B371" s="60">
        <v>44906</v>
      </c>
      <c r="C371" s="54">
        <v>121.57790235049386</v>
      </c>
      <c r="D371" s="54">
        <v>121.57790235049386</v>
      </c>
    </row>
    <row r="372" spans="1:4" x14ac:dyDescent="0.35">
      <c r="A372" s="59" t="s">
        <v>183</v>
      </c>
      <c r="B372" s="60">
        <v>44913</v>
      </c>
      <c r="C372" s="54">
        <v>82.147099151894594</v>
      </c>
      <c r="D372" s="54">
        <v>82.147099151894594</v>
      </c>
    </row>
    <row r="373" spans="1:4" x14ac:dyDescent="0.35">
      <c r="A373" s="59" t="s">
        <v>183</v>
      </c>
      <c r="B373" s="60">
        <v>44920</v>
      </c>
      <c r="C373" s="54">
        <v>126.69536610214473</v>
      </c>
      <c r="D373" s="54">
        <v>126.69536610214473</v>
      </c>
    </row>
    <row r="374" spans="1:4" x14ac:dyDescent="0.35">
      <c r="A374" s="59" t="s">
        <v>183</v>
      </c>
      <c r="B374" s="60">
        <v>44927</v>
      </c>
      <c r="C374" s="54">
        <v>115.3876207865672</v>
      </c>
      <c r="D374" s="54">
        <v>115.3876207865672</v>
      </c>
    </row>
    <row r="375" spans="1:4" x14ac:dyDescent="0.35">
      <c r="A375" s="59" t="s">
        <v>183</v>
      </c>
      <c r="B375" s="60">
        <v>44934</v>
      </c>
      <c r="C375" s="54">
        <v>112.46155999388084</v>
      </c>
      <c r="D375" s="54">
        <v>112.46155999388084</v>
      </c>
    </row>
    <row r="376" spans="1:4" x14ac:dyDescent="0.35">
      <c r="A376" s="59" t="s">
        <v>183</v>
      </c>
      <c r="B376" s="60">
        <v>44941</v>
      </c>
      <c r="C376" s="54">
        <v>141.1442593819238</v>
      </c>
      <c r="D376" s="54">
        <v>141.1442593819238</v>
      </c>
    </row>
    <row r="377" spans="1:4" x14ac:dyDescent="0.35">
      <c r="A377" s="59" t="s">
        <v>183</v>
      </c>
      <c r="B377" s="60">
        <v>44948</v>
      </c>
      <c r="C377" s="54">
        <v>152.40630373567015</v>
      </c>
      <c r="D377" s="54">
        <v>152.40630373567015</v>
      </c>
    </row>
    <row r="378" spans="1:4" x14ac:dyDescent="0.35">
      <c r="A378" s="59" t="s">
        <v>183</v>
      </c>
      <c r="B378" s="60">
        <v>44955</v>
      </c>
      <c r="C378" s="54">
        <v>153.21770012317467</v>
      </c>
      <c r="D378" s="54">
        <v>153.21770012317467</v>
      </c>
    </row>
    <row r="379" spans="1:4" x14ac:dyDescent="0.35">
      <c r="A379" s="59" t="s">
        <v>183</v>
      </c>
      <c r="B379" s="60">
        <v>44962</v>
      </c>
      <c r="C379" s="54">
        <v>120.51011297642258</v>
      </c>
      <c r="D379" s="54">
        <v>120.51011297642258</v>
      </c>
    </row>
    <row r="380" spans="1:4" x14ac:dyDescent="0.35">
      <c r="A380" s="59" t="s">
        <v>183</v>
      </c>
      <c r="B380" s="60">
        <v>44969</v>
      </c>
      <c r="C380" s="54">
        <v>133.67704741759883</v>
      </c>
      <c r="D380" s="54">
        <v>133.67704741759883</v>
      </c>
    </row>
    <row r="381" spans="1:4" x14ac:dyDescent="0.35">
      <c r="A381" s="59" t="s">
        <v>183</v>
      </c>
      <c r="B381" s="60">
        <v>44976</v>
      </c>
      <c r="C381" s="54">
        <v>148.88772179288716</v>
      </c>
      <c r="D381" s="54">
        <v>148.88772179288716</v>
      </c>
    </row>
    <row r="382" spans="1:4" x14ac:dyDescent="0.35">
      <c r="A382" s="59" t="s">
        <v>183</v>
      </c>
      <c r="B382" s="60">
        <v>44983</v>
      </c>
      <c r="C382" s="54">
        <v>163.98111750586921</v>
      </c>
      <c r="D382" s="54">
        <v>163.98111750586921</v>
      </c>
    </row>
    <row r="383" spans="1:4" x14ac:dyDescent="0.35">
      <c r="A383" s="59" t="s">
        <v>183</v>
      </c>
      <c r="B383" s="60">
        <v>44990</v>
      </c>
      <c r="C383" s="54">
        <v>136.87619256096733</v>
      </c>
      <c r="D383" s="54">
        <v>136.87619256096733</v>
      </c>
    </row>
    <row r="384" spans="1:4" x14ac:dyDescent="0.35">
      <c r="A384" s="59" t="s">
        <v>183</v>
      </c>
      <c r="B384" s="60">
        <v>44997</v>
      </c>
      <c r="C384" s="54">
        <v>144.49594097978786</v>
      </c>
      <c r="D384" s="54">
        <v>144.49594097978786</v>
      </c>
    </row>
    <row r="385" spans="1:4" x14ac:dyDescent="0.35">
      <c r="A385" s="59" t="s">
        <v>183</v>
      </c>
      <c r="B385" s="60">
        <v>45004</v>
      </c>
      <c r="C385" s="54">
        <v>127.57362537358775</v>
      </c>
      <c r="D385" s="54">
        <v>127.57362537358775</v>
      </c>
    </row>
    <row r="386" spans="1:4" x14ac:dyDescent="0.35">
      <c r="A386" s="59" t="s">
        <v>183</v>
      </c>
      <c r="B386" s="60">
        <v>45011</v>
      </c>
      <c r="C386" s="54">
        <v>126.99470386690763</v>
      </c>
      <c r="D386" s="54">
        <v>126.99470386690763</v>
      </c>
    </row>
    <row r="387" spans="1:4" x14ac:dyDescent="0.35">
      <c r="A387" s="59" t="s">
        <v>183</v>
      </c>
      <c r="B387" s="60">
        <v>45018</v>
      </c>
      <c r="C387" s="54">
        <v>168.10469392984504</v>
      </c>
      <c r="D387" s="54">
        <v>168.10469392984504</v>
      </c>
    </row>
    <row r="388" spans="1:4" x14ac:dyDescent="0.35">
      <c r="A388" s="59" t="s">
        <v>183</v>
      </c>
      <c r="B388" s="60">
        <v>45025</v>
      </c>
      <c r="C388" s="54">
        <v>179.62480057141647</v>
      </c>
      <c r="D388" s="54">
        <v>179.62480057141647</v>
      </c>
    </row>
    <row r="389" spans="1:4" x14ac:dyDescent="0.35">
      <c r="A389" s="59" t="s">
        <v>183</v>
      </c>
      <c r="B389" s="60">
        <v>45032</v>
      </c>
      <c r="C389" s="54">
        <v>151.4139750503544</v>
      </c>
      <c r="D389" s="54">
        <v>151.4139750503544</v>
      </c>
    </row>
    <row r="390" spans="1:4" x14ac:dyDescent="0.35">
      <c r="A390" s="59" t="s">
        <v>183</v>
      </c>
      <c r="B390" s="60">
        <v>45039</v>
      </c>
      <c r="C390" s="54">
        <v>172.98949430636151</v>
      </c>
      <c r="D390" s="54">
        <v>172.98949430636151</v>
      </c>
    </row>
    <row r="391" spans="1:4" x14ac:dyDescent="0.35">
      <c r="A391" s="59" t="s">
        <v>183</v>
      </c>
      <c r="B391" s="60">
        <v>45046</v>
      </c>
      <c r="C391" s="54">
        <v>159.933045354661</v>
      </c>
      <c r="D391" s="54">
        <v>159.933045354661</v>
      </c>
    </row>
    <row r="392" spans="1:4" x14ac:dyDescent="0.35">
      <c r="A392" s="59" t="s">
        <v>183</v>
      </c>
      <c r="B392" s="60">
        <v>45053</v>
      </c>
      <c r="C392" s="54">
        <v>139.3067254209617</v>
      </c>
      <c r="D392" s="54">
        <v>139.3067254209617</v>
      </c>
    </row>
    <row r="393" spans="1:4" x14ac:dyDescent="0.35">
      <c r="A393" s="59" t="s">
        <v>183</v>
      </c>
      <c r="B393" s="60">
        <v>45060</v>
      </c>
      <c r="C393" s="54">
        <v>158.68758942804143</v>
      </c>
      <c r="D393" s="54">
        <v>158.68758942804143</v>
      </c>
    </row>
    <row r="394" spans="1:4" x14ac:dyDescent="0.35">
      <c r="A394" s="59" t="s">
        <v>183</v>
      </c>
      <c r="B394" s="60">
        <v>45067</v>
      </c>
      <c r="C394" s="54">
        <v>181.23094629274141</v>
      </c>
      <c r="D394" s="54">
        <v>181.23094629274141</v>
      </c>
    </row>
    <row r="395" spans="1:4" x14ac:dyDescent="0.35">
      <c r="A395" s="59" t="s">
        <v>183</v>
      </c>
      <c r="B395" s="60">
        <v>45074</v>
      </c>
      <c r="C395" s="54">
        <v>148.54593238261688</v>
      </c>
      <c r="D395" s="54">
        <v>148.54593238261688</v>
      </c>
    </row>
    <row r="396" spans="1:4" x14ac:dyDescent="0.35">
      <c r="A396" s="59" t="s">
        <v>183</v>
      </c>
      <c r="B396" s="60">
        <v>45081</v>
      </c>
      <c r="C396" s="54">
        <v>179.15416805090328</v>
      </c>
      <c r="D396" s="54">
        <v>179.15416805090328</v>
      </c>
    </row>
    <row r="397" spans="1:4" x14ac:dyDescent="0.35">
      <c r="A397" s="59" t="s">
        <v>183</v>
      </c>
      <c r="B397" s="60">
        <v>45088</v>
      </c>
      <c r="C397" s="54">
        <v>93.899561359080479</v>
      </c>
      <c r="D397" s="54">
        <v>93.899561359080479</v>
      </c>
    </row>
    <row r="398" spans="1:4" x14ac:dyDescent="0.35">
      <c r="A398" s="59" t="s">
        <v>183</v>
      </c>
      <c r="B398" s="60">
        <v>45095</v>
      </c>
      <c r="C398" s="54">
        <v>161.03014782835521</v>
      </c>
      <c r="D398" s="54">
        <v>161.03014782835521</v>
      </c>
    </row>
    <row r="399" spans="1:4" x14ac:dyDescent="0.35">
      <c r="A399" s="59" t="s">
        <v>183</v>
      </c>
      <c r="B399" s="60">
        <v>45102</v>
      </c>
      <c r="C399" s="54">
        <v>144.52725465051458</v>
      </c>
      <c r="D399" s="54">
        <v>144.52725465051458</v>
      </c>
    </row>
    <row r="400" spans="1:4" x14ac:dyDescent="0.35">
      <c r="A400" s="59" t="s">
        <v>183</v>
      </c>
      <c r="B400" s="60">
        <v>45109</v>
      </c>
      <c r="C400" s="54">
        <v>134.93058659578912</v>
      </c>
      <c r="D400" s="54">
        <v>134.93058659578912</v>
      </c>
    </row>
    <row r="401" spans="1:4" x14ac:dyDescent="0.35">
      <c r="A401" s="59" t="s">
        <v>183</v>
      </c>
      <c r="B401" s="60">
        <v>45116</v>
      </c>
      <c r="C401" s="54">
        <v>140.83521553071006</v>
      </c>
      <c r="D401" s="54">
        <v>140.83521553071006</v>
      </c>
    </row>
    <row r="402" spans="1:4" x14ac:dyDescent="0.35">
      <c r="A402" s="59" t="s">
        <v>183</v>
      </c>
      <c r="B402" s="60">
        <v>45123</v>
      </c>
      <c r="C402" s="54">
        <v>97.337888102875667</v>
      </c>
      <c r="D402" s="54">
        <v>97.337888102875667</v>
      </c>
    </row>
    <row r="403" spans="1:4" x14ac:dyDescent="0.35">
      <c r="A403" s="59" t="s">
        <v>183</v>
      </c>
      <c r="B403" s="60">
        <v>45130</v>
      </c>
      <c r="C403" s="54">
        <v>130.82024895749859</v>
      </c>
      <c r="D403" s="54">
        <v>130.82024895749859</v>
      </c>
    </row>
    <row r="404" spans="1:4" x14ac:dyDescent="0.35">
      <c r="A404" s="59" t="s">
        <v>183</v>
      </c>
      <c r="B404" s="60">
        <v>45137</v>
      </c>
      <c r="C404" s="54">
        <v>140.55015368938422</v>
      </c>
      <c r="D404" s="54">
        <v>140.55015368938422</v>
      </c>
    </row>
    <row r="405" spans="1:4" x14ac:dyDescent="0.35">
      <c r="A405" s="59" t="s">
        <v>183</v>
      </c>
      <c r="B405" s="60">
        <v>45144</v>
      </c>
      <c r="C405" s="54">
        <v>161.26341745395499</v>
      </c>
      <c r="D405" s="54">
        <v>161.26341745395499</v>
      </c>
    </row>
    <row r="406" spans="1:4" x14ac:dyDescent="0.35">
      <c r="A406" s="59" t="s">
        <v>183</v>
      </c>
      <c r="B406" s="60">
        <v>45151</v>
      </c>
      <c r="C406" s="54">
        <v>119.77330069990393</v>
      </c>
      <c r="D406" s="54">
        <v>119.77330069990393</v>
      </c>
    </row>
    <row r="407" spans="1:4" x14ac:dyDescent="0.35">
      <c r="A407" s="59" t="s">
        <v>183</v>
      </c>
      <c r="B407" s="60">
        <v>45158</v>
      </c>
      <c r="C407" s="54">
        <v>112.56767477732035</v>
      </c>
      <c r="D407" s="54">
        <v>112.56767477732035</v>
      </c>
    </row>
    <row r="408" spans="1:4" x14ac:dyDescent="0.35">
      <c r="A408" s="59" t="s">
        <v>183</v>
      </c>
      <c r="B408" s="60">
        <v>45165</v>
      </c>
      <c r="C408" s="54">
        <v>117.49464416488726</v>
      </c>
      <c r="D408" s="54">
        <v>117.49464416488726</v>
      </c>
    </row>
    <row r="409" spans="1:4" x14ac:dyDescent="0.35">
      <c r="A409" s="59" t="s">
        <v>183</v>
      </c>
      <c r="B409" s="60">
        <v>45172</v>
      </c>
      <c r="C409" s="54">
        <v>144.84836503616836</v>
      </c>
      <c r="D409" s="54">
        <v>144.84836503616836</v>
      </c>
    </row>
    <row r="410" spans="1:4" x14ac:dyDescent="0.35">
      <c r="A410" s="59" t="s">
        <v>183</v>
      </c>
      <c r="B410" s="60">
        <v>45179</v>
      </c>
      <c r="C410" s="54">
        <v>132.36590168012953</v>
      </c>
      <c r="D410" s="54">
        <v>132.36590168012953</v>
      </c>
    </row>
    <row r="411" spans="1:4" x14ac:dyDescent="0.35">
      <c r="A411" s="59" t="s">
        <v>183</v>
      </c>
      <c r="B411" s="60">
        <v>45186</v>
      </c>
      <c r="C411" s="54">
        <v>114.70447107095094</v>
      </c>
      <c r="D411" s="54">
        <v>114.70447107095094</v>
      </c>
    </row>
    <row r="412" spans="1:4" x14ac:dyDescent="0.35">
      <c r="A412" s="59" t="s">
        <v>183</v>
      </c>
      <c r="B412" s="60">
        <v>45193</v>
      </c>
      <c r="C412" s="54">
        <v>135.34651231374608</v>
      </c>
      <c r="D412" s="54">
        <v>135.34651231374608</v>
      </c>
    </row>
    <row r="413" spans="1:4" x14ac:dyDescent="0.35">
      <c r="A413" s="59" t="s">
        <v>183</v>
      </c>
      <c r="B413" s="60">
        <v>45200</v>
      </c>
      <c r="C413" s="54">
        <v>127.08737350499973</v>
      </c>
      <c r="D413" s="54">
        <v>127.08737350499973</v>
      </c>
    </row>
    <row r="414" spans="1:4" x14ac:dyDescent="0.35">
      <c r="A414" s="59" t="s">
        <v>183</v>
      </c>
      <c r="B414" s="60">
        <v>45207</v>
      </c>
      <c r="C414" s="54">
        <v>144.87289981065777</v>
      </c>
      <c r="D414" s="54">
        <v>144.87289981065777</v>
      </c>
    </row>
    <row r="415" spans="1:4" x14ac:dyDescent="0.35">
      <c r="A415" s="59" t="s">
        <v>183</v>
      </c>
      <c r="B415" s="60">
        <v>45214</v>
      </c>
      <c r="C415" s="54">
        <v>112.10476064049188</v>
      </c>
      <c r="D415" s="54">
        <v>112.10476064049188</v>
      </c>
    </row>
    <row r="416" spans="1:4" x14ac:dyDescent="0.35">
      <c r="A416" s="59" t="s">
        <v>183</v>
      </c>
      <c r="B416" s="60">
        <v>45221</v>
      </c>
      <c r="C416" s="54">
        <v>120.52792071952359</v>
      </c>
      <c r="D416" s="54">
        <v>120.52792071952359</v>
      </c>
    </row>
    <row r="417" spans="1:4" x14ac:dyDescent="0.35">
      <c r="A417" s="59" t="s">
        <v>183</v>
      </c>
      <c r="B417" s="60">
        <v>45228</v>
      </c>
      <c r="C417" s="54">
        <v>120.45751208364854</v>
      </c>
      <c r="D417" s="54">
        <v>120.45751208364854</v>
      </c>
    </row>
    <row r="418" spans="1:4" x14ac:dyDescent="0.35">
      <c r="A418" s="59" t="s">
        <v>183</v>
      </c>
      <c r="B418" s="60">
        <v>45235</v>
      </c>
      <c r="C418" s="54">
        <v>100.52058052429344</v>
      </c>
      <c r="D418" s="54">
        <v>100.52058052429344</v>
      </c>
    </row>
    <row r="419" spans="1:4" x14ac:dyDescent="0.35">
      <c r="A419" s="59" t="s">
        <v>183</v>
      </c>
      <c r="B419" s="60">
        <v>45242</v>
      </c>
      <c r="C419" s="54">
        <v>137.4627282234184</v>
      </c>
      <c r="D419" s="54">
        <v>137.4627282234184</v>
      </c>
    </row>
    <row r="420" spans="1:4" x14ac:dyDescent="0.35">
      <c r="A420" s="59" t="s">
        <v>183</v>
      </c>
      <c r="B420" s="60">
        <v>45249</v>
      </c>
      <c r="C420" s="54">
        <v>138.75089048017577</v>
      </c>
      <c r="D420" s="54">
        <v>138.75089048017577</v>
      </c>
    </row>
    <row r="421" spans="1:4" x14ac:dyDescent="0.35">
      <c r="A421" s="59" t="s">
        <v>183</v>
      </c>
      <c r="B421" s="60">
        <v>45256</v>
      </c>
      <c r="C421" s="54">
        <v>135.83981596803329</v>
      </c>
      <c r="D421" s="54">
        <v>135.83981596803329</v>
      </c>
    </row>
    <row r="422" spans="1:4" x14ac:dyDescent="0.35">
      <c r="A422" s="59" t="s">
        <v>183</v>
      </c>
      <c r="B422" s="60">
        <v>45263</v>
      </c>
      <c r="C422" s="54">
        <v>133.44696239787393</v>
      </c>
      <c r="D422" s="54">
        <v>133.44696239787393</v>
      </c>
    </row>
    <row r="423" spans="1:4" x14ac:dyDescent="0.35">
      <c r="A423" s="59" t="s">
        <v>183</v>
      </c>
      <c r="B423" s="60">
        <v>45270</v>
      </c>
      <c r="C423" s="54">
        <v>112.39812171811634</v>
      </c>
      <c r="D423" s="54">
        <v>112.39812171811634</v>
      </c>
    </row>
    <row r="424" spans="1:4" x14ac:dyDescent="0.35">
      <c r="A424" s="59" t="s">
        <v>183</v>
      </c>
      <c r="B424" s="60">
        <v>45277</v>
      </c>
      <c r="C424" s="54">
        <v>134.99499580384207</v>
      </c>
      <c r="D424" s="54">
        <v>134.99499580384207</v>
      </c>
    </row>
    <row r="425" spans="1:4" x14ac:dyDescent="0.35">
      <c r="A425" s="59" t="s">
        <v>183</v>
      </c>
      <c r="B425" s="60">
        <v>45284</v>
      </c>
      <c r="C425" s="54">
        <v>139.35939638371343</v>
      </c>
      <c r="D425" s="54">
        <v>139.35939638371343</v>
      </c>
    </row>
    <row r="426" spans="1:4" x14ac:dyDescent="0.35">
      <c r="A426" s="59" t="s">
        <v>183</v>
      </c>
      <c r="B426" s="60">
        <v>45291</v>
      </c>
      <c r="C426" s="54">
        <v>133.04372101046113</v>
      </c>
      <c r="D426" s="54">
        <v>133.04372101046113</v>
      </c>
    </row>
    <row r="427" spans="1:4" x14ac:dyDescent="0.35">
      <c r="A427" s="59" t="s">
        <v>183</v>
      </c>
      <c r="B427" s="60">
        <v>45298</v>
      </c>
      <c r="C427" s="54">
        <v>148.77428576667984</v>
      </c>
      <c r="D427" s="54">
        <v>148.77428576667984</v>
      </c>
    </row>
    <row r="428" spans="1:4" x14ac:dyDescent="0.35">
      <c r="A428" s="59" t="s">
        <v>183</v>
      </c>
      <c r="B428" s="60">
        <v>45305</v>
      </c>
      <c r="C428" s="54">
        <v>162.99175074139725</v>
      </c>
      <c r="D428" s="54">
        <v>162.99175074139725</v>
      </c>
    </row>
    <row r="429" spans="1:4" x14ac:dyDescent="0.35">
      <c r="A429" s="59" t="s">
        <v>183</v>
      </c>
      <c r="B429" s="60">
        <v>45312</v>
      </c>
      <c r="C429" s="54">
        <v>195.51003130996176</v>
      </c>
      <c r="D429" s="54">
        <v>195.51003130996176</v>
      </c>
    </row>
    <row r="430" spans="1:4" x14ac:dyDescent="0.35">
      <c r="A430" s="59" t="s">
        <v>183</v>
      </c>
      <c r="B430" s="60">
        <v>45319</v>
      </c>
      <c r="C430" s="54">
        <v>164.08365399748749</v>
      </c>
      <c r="D430" s="54">
        <v>164.08365399748749</v>
      </c>
    </row>
    <row r="431" spans="1:4" x14ac:dyDescent="0.35">
      <c r="A431" s="59" t="s">
        <v>183</v>
      </c>
      <c r="B431" s="60">
        <v>45326</v>
      </c>
      <c r="C431" s="54">
        <v>168.44547125533063</v>
      </c>
      <c r="D431" s="54">
        <v>168.44547125533063</v>
      </c>
    </row>
    <row r="432" spans="1:4" x14ac:dyDescent="0.35">
      <c r="A432" s="59" t="s">
        <v>183</v>
      </c>
      <c r="B432" s="60">
        <v>45333</v>
      </c>
      <c r="C432" s="54">
        <v>164.37237661929976</v>
      </c>
      <c r="D432" s="54">
        <v>164.37237661929976</v>
      </c>
    </row>
    <row r="433" spans="1:4" x14ac:dyDescent="0.35">
      <c r="A433" s="59" t="s">
        <v>183</v>
      </c>
      <c r="B433" s="60">
        <v>45340</v>
      </c>
      <c r="C433" s="54">
        <v>129.88702885883507</v>
      </c>
      <c r="D433" s="54">
        <v>129.88702885883507</v>
      </c>
    </row>
    <row r="434" spans="1:4" x14ac:dyDescent="0.35">
      <c r="A434" s="59" t="s">
        <v>183</v>
      </c>
      <c r="B434" s="60">
        <v>45347</v>
      </c>
      <c r="C434" s="54">
        <v>169.93993745443768</v>
      </c>
      <c r="D434" s="54">
        <v>169.93993745443768</v>
      </c>
    </row>
    <row r="435" spans="1:4" x14ac:dyDescent="0.35">
      <c r="A435" s="59" t="s">
        <v>183</v>
      </c>
      <c r="B435" s="60">
        <v>45354</v>
      </c>
      <c r="C435" s="54">
        <v>173.66428151669365</v>
      </c>
      <c r="D435" s="54">
        <v>173.66428151669365</v>
      </c>
    </row>
    <row r="436" spans="1:4" x14ac:dyDescent="0.35">
      <c r="A436" s="59" t="s">
        <v>183</v>
      </c>
      <c r="B436" s="60">
        <v>45361</v>
      </c>
      <c r="C436" s="54">
        <v>223.47396276276993</v>
      </c>
      <c r="D436" s="54">
        <v>223.47396276276993</v>
      </c>
    </row>
    <row r="437" spans="1:4" x14ac:dyDescent="0.35">
      <c r="A437" s="59" t="s">
        <v>183</v>
      </c>
      <c r="B437" s="60">
        <v>45368</v>
      </c>
      <c r="C437" s="54">
        <v>171.85310555808584</v>
      </c>
      <c r="D437" s="54">
        <v>171.85310555808584</v>
      </c>
    </row>
    <row r="438" spans="1:4" x14ac:dyDescent="0.35">
      <c r="A438" s="59" t="s">
        <v>183</v>
      </c>
      <c r="B438" s="60">
        <v>45375</v>
      </c>
      <c r="C438" s="54">
        <v>182.94978319519328</v>
      </c>
      <c r="D438" s="54">
        <v>182.94978319519328</v>
      </c>
    </row>
    <row r="439" spans="1:4" x14ac:dyDescent="0.35">
      <c r="A439" s="59" t="s">
        <v>183</v>
      </c>
      <c r="B439" s="60">
        <v>45382</v>
      </c>
      <c r="C439" s="54">
        <v>177.15994208785619</v>
      </c>
      <c r="D439" s="54">
        <v>177.15994208785619</v>
      </c>
    </row>
    <row r="440" spans="1:4" x14ac:dyDescent="0.35">
      <c r="A440" s="59" t="s">
        <v>183</v>
      </c>
      <c r="B440" s="60">
        <v>45389</v>
      </c>
      <c r="C440" s="54">
        <v>155.12643924760937</v>
      </c>
      <c r="D440" s="54">
        <v>155.12643924760937</v>
      </c>
    </row>
    <row r="441" spans="1:4" x14ac:dyDescent="0.35">
      <c r="A441" s="59" t="s">
        <v>183</v>
      </c>
      <c r="B441" s="60">
        <v>45396</v>
      </c>
      <c r="C441" s="54">
        <v>201.71063377226147</v>
      </c>
      <c r="D441" s="54">
        <v>201.71063377226147</v>
      </c>
    </row>
    <row r="442" spans="1:4" x14ac:dyDescent="0.35">
      <c r="A442" s="59" t="s">
        <v>183</v>
      </c>
      <c r="B442" s="60">
        <v>45403</v>
      </c>
      <c r="C442" s="54">
        <v>193.95749700225653</v>
      </c>
      <c r="D442" s="54">
        <v>193.95749700225653</v>
      </c>
    </row>
    <row r="443" spans="1:4" x14ac:dyDescent="0.35">
      <c r="A443" s="59" t="s">
        <v>183</v>
      </c>
      <c r="B443" s="60">
        <v>45410</v>
      </c>
      <c r="C443" s="54">
        <v>194.52096379456924</v>
      </c>
      <c r="D443" s="54">
        <v>194.52096379456924</v>
      </c>
    </row>
    <row r="444" spans="1:4" x14ac:dyDescent="0.35">
      <c r="A444" s="59" t="s">
        <v>183</v>
      </c>
      <c r="B444" s="60">
        <v>45417</v>
      </c>
      <c r="C444" s="54">
        <v>160.02137141716941</v>
      </c>
      <c r="D444" s="54">
        <v>160.02137141716941</v>
      </c>
    </row>
    <row r="445" spans="1:4" x14ac:dyDescent="0.35">
      <c r="A445" s="59" t="s">
        <v>183</v>
      </c>
      <c r="B445" s="60">
        <v>45424</v>
      </c>
      <c r="C445" s="54">
        <v>205.5155635365951</v>
      </c>
      <c r="D445" s="54">
        <v>205.5155635365951</v>
      </c>
    </row>
    <row r="446" spans="1:4" x14ac:dyDescent="0.35">
      <c r="A446" s="59" t="s">
        <v>183</v>
      </c>
      <c r="B446" s="60">
        <v>45431</v>
      </c>
      <c r="C446" s="54">
        <v>148.43319370757641</v>
      </c>
      <c r="D446" s="54">
        <v>148.43319370757641</v>
      </c>
    </row>
    <row r="447" spans="1:4" x14ac:dyDescent="0.35">
      <c r="A447" s="59" t="s">
        <v>183</v>
      </c>
      <c r="B447" s="60">
        <v>45438</v>
      </c>
      <c r="C447" s="54">
        <v>186.99959504082133</v>
      </c>
      <c r="D447" s="54">
        <v>186.99959504082133</v>
      </c>
    </row>
    <row r="448" spans="1:4" x14ac:dyDescent="0.35">
      <c r="A448" s="59" t="s">
        <v>183</v>
      </c>
      <c r="B448" s="60">
        <v>45445</v>
      </c>
      <c r="C448" s="54">
        <v>217.67040745082272</v>
      </c>
      <c r="D448" s="54">
        <v>217.67040745082272</v>
      </c>
    </row>
    <row r="449" spans="1:4" x14ac:dyDescent="0.35">
      <c r="A449" s="59" t="s">
        <v>183</v>
      </c>
      <c r="B449" s="60">
        <v>45452</v>
      </c>
      <c r="C449" s="54">
        <v>152.48373693826161</v>
      </c>
      <c r="D449" s="54">
        <v>152.48373693826161</v>
      </c>
    </row>
    <row r="450" spans="1:4" x14ac:dyDescent="0.35">
      <c r="A450" s="59" t="s">
        <v>183</v>
      </c>
      <c r="B450" s="60">
        <v>45459</v>
      </c>
      <c r="C450" s="54">
        <v>159.26614314879529</v>
      </c>
      <c r="D450" s="54">
        <v>159.26614314879529</v>
      </c>
    </row>
    <row r="451" spans="1:4" x14ac:dyDescent="0.35">
      <c r="A451" s="59" t="s">
        <v>183</v>
      </c>
      <c r="B451" s="60">
        <v>45466</v>
      </c>
      <c r="C451" s="54">
        <v>170.77934058750401</v>
      </c>
      <c r="D451" s="54">
        <v>170.77934058750401</v>
      </c>
    </row>
    <row r="452" spans="1:4" x14ac:dyDescent="0.35">
      <c r="A452" s="59" t="s">
        <v>183</v>
      </c>
      <c r="B452" s="60">
        <v>45473</v>
      </c>
      <c r="C452" s="54">
        <v>156.84122052278249</v>
      </c>
      <c r="D452" s="54">
        <v>156.84122052278249</v>
      </c>
    </row>
    <row r="453" spans="1:4" x14ac:dyDescent="0.35">
      <c r="A453" s="59" t="s">
        <v>183</v>
      </c>
      <c r="B453" s="60">
        <v>45480</v>
      </c>
      <c r="C453" s="54">
        <v>133.98673137867735</v>
      </c>
      <c r="D453" s="54">
        <v>133.98673137867735</v>
      </c>
    </row>
    <row r="454" spans="1:4" x14ac:dyDescent="0.35">
      <c r="A454" s="59" t="s">
        <v>183</v>
      </c>
      <c r="B454" s="60">
        <v>45487</v>
      </c>
      <c r="C454" s="54">
        <v>164.46052589101407</v>
      </c>
      <c r="D454" s="54">
        <v>164.46052589101407</v>
      </c>
    </row>
    <row r="455" spans="1:4" x14ac:dyDescent="0.35">
      <c r="A455" s="59" t="s">
        <v>183</v>
      </c>
      <c r="B455" s="60">
        <v>45494</v>
      </c>
      <c r="C455" s="54">
        <v>139.96761243972674</v>
      </c>
      <c r="D455" s="54">
        <v>139.96761243972674</v>
      </c>
    </row>
    <row r="456" spans="1:4" x14ac:dyDescent="0.35">
      <c r="A456" s="59" t="s">
        <v>183</v>
      </c>
      <c r="B456" s="60">
        <v>45501</v>
      </c>
      <c r="C456" s="54">
        <v>168.87975087185293</v>
      </c>
      <c r="D456" s="54">
        <v>168.87975087185293</v>
      </c>
    </row>
    <row r="457" spans="1:4" x14ac:dyDescent="0.35">
      <c r="A457" s="59" t="s">
        <v>183</v>
      </c>
      <c r="B457" s="60">
        <v>45508</v>
      </c>
      <c r="C457" s="54">
        <v>139.31705187444857</v>
      </c>
      <c r="D457" s="54">
        <v>139.31705187444857</v>
      </c>
    </row>
    <row r="458" spans="1:4" x14ac:dyDescent="0.35">
      <c r="A458" s="59" t="s">
        <v>183</v>
      </c>
      <c r="B458" s="60">
        <v>45515</v>
      </c>
      <c r="C458" s="54">
        <v>187.1373931657277</v>
      </c>
      <c r="D458" s="54">
        <v>187.1373931657277</v>
      </c>
    </row>
    <row r="459" spans="1:4" x14ac:dyDescent="0.35">
      <c r="A459" s="59" t="s">
        <v>183</v>
      </c>
      <c r="B459" s="60">
        <v>45522</v>
      </c>
      <c r="C459" s="54">
        <v>139.07248098845938</v>
      </c>
      <c r="D459" s="54">
        <v>139.07248098845938</v>
      </c>
    </row>
    <row r="460" spans="1:4" x14ac:dyDescent="0.35">
      <c r="A460" s="59" t="s">
        <v>183</v>
      </c>
      <c r="B460" s="60">
        <v>45529</v>
      </c>
      <c r="C460" s="54">
        <v>147.08855471246446</v>
      </c>
      <c r="D460" s="54">
        <v>147.08855471246446</v>
      </c>
    </row>
    <row r="461" spans="1:4" x14ac:dyDescent="0.35">
      <c r="A461" s="59" t="s">
        <v>183</v>
      </c>
      <c r="B461" s="60">
        <v>45536</v>
      </c>
      <c r="C461" s="54">
        <v>168.81066702952029</v>
      </c>
      <c r="D461" s="54">
        <v>168.81066702952029</v>
      </c>
    </row>
    <row r="462" spans="1:4" x14ac:dyDescent="0.35">
      <c r="A462" s="59" t="s">
        <v>183</v>
      </c>
      <c r="B462" s="60">
        <v>45543</v>
      </c>
      <c r="C462" s="54">
        <v>127.17359315825671</v>
      </c>
      <c r="D462" s="54">
        <v>127.17359315825671</v>
      </c>
    </row>
    <row r="463" spans="1:4" x14ac:dyDescent="0.35">
      <c r="A463" s="59" t="s">
        <v>183</v>
      </c>
      <c r="B463" s="60">
        <v>45550</v>
      </c>
      <c r="C463" s="54">
        <v>155.84887383837432</v>
      </c>
      <c r="D463" s="54">
        <v>155.84887383837432</v>
      </c>
    </row>
    <row r="464" spans="1:4" x14ac:dyDescent="0.35">
      <c r="A464" s="59" t="s">
        <v>183</v>
      </c>
      <c r="B464" s="60">
        <v>45557</v>
      </c>
      <c r="C464" s="54">
        <v>177.22401873712752</v>
      </c>
      <c r="D464" s="54">
        <v>177.22401873712752</v>
      </c>
    </row>
    <row r="465" spans="1:4" x14ac:dyDescent="0.35">
      <c r="A465" s="59" t="s">
        <v>183</v>
      </c>
      <c r="B465" s="60">
        <v>45564</v>
      </c>
      <c r="C465" s="54">
        <v>118.99615782681437</v>
      </c>
      <c r="D465" s="54">
        <v>118.99615782681437</v>
      </c>
    </row>
    <row r="466" spans="1:4" x14ac:dyDescent="0.35">
      <c r="A466" s="59" t="s">
        <v>183</v>
      </c>
      <c r="B466" s="60">
        <v>45571</v>
      </c>
      <c r="C466" s="54">
        <v>155.19267717064608</v>
      </c>
      <c r="D466" s="54">
        <v>155.19267717064608</v>
      </c>
    </row>
    <row r="467" spans="1:4" x14ac:dyDescent="0.35">
      <c r="A467" s="59" t="s">
        <v>183</v>
      </c>
      <c r="B467" s="60">
        <v>45578</v>
      </c>
      <c r="C467" s="54">
        <v>157.3434784030074</v>
      </c>
      <c r="D467" s="54">
        <v>157.3434784030074</v>
      </c>
    </row>
    <row r="468" spans="1:4" x14ac:dyDescent="0.35">
      <c r="A468" s="59" t="s">
        <v>183</v>
      </c>
      <c r="B468" s="60">
        <v>45585</v>
      </c>
      <c r="C468" s="54">
        <v>168.71762108702518</v>
      </c>
      <c r="D468" s="54">
        <v>168.71762108702518</v>
      </c>
    </row>
    <row r="469" spans="1:4" x14ac:dyDescent="0.35">
      <c r="A469" s="59" t="s">
        <v>183</v>
      </c>
      <c r="B469" s="60">
        <v>45592</v>
      </c>
      <c r="C469" s="54">
        <v>129.56066092873004</v>
      </c>
      <c r="D469" s="54">
        <v>129.56066092873004</v>
      </c>
    </row>
    <row r="470" spans="1:4" x14ac:dyDescent="0.35">
      <c r="A470" s="59" t="s">
        <v>183</v>
      </c>
      <c r="B470" s="60">
        <v>45599</v>
      </c>
      <c r="C470" s="54">
        <v>129.38174722525028</v>
      </c>
      <c r="D470" s="54">
        <v>129.38174722525028</v>
      </c>
    </row>
    <row r="471" spans="1:4" x14ac:dyDescent="0.35">
      <c r="A471" s="59" t="s">
        <v>183</v>
      </c>
      <c r="B471" s="60">
        <v>45606</v>
      </c>
      <c r="C471" s="54">
        <v>167.97915399446484</v>
      </c>
      <c r="D471" s="54">
        <v>167.97915399446484</v>
      </c>
    </row>
    <row r="472" spans="1:4" x14ac:dyDescent="0.35">
      <c r="A472" s="59" t="s">
        <v>183</v>
      </c>
      <c r="B472" s="60">
        <v>45613</v>
      </c>
      <c r="C472" s="54">
        <v>165.46947850124167</v>
      </c>
      <c r="D472" s="54">
        <v>165.46947850124167</v>
      </c>
    </row>
    <row r="473" spans="1:4" x14ac:dyDescent="0.35">
      <c r="A473" s="59" t="s">
        <v>183</v>
      </c>
      <c r="B473" s="60">
        <v>45620</v>
      </c>
      <c r="C473" s="54">
        <v>166.74740384210162</v>
      </c>
      <c r="D473" s="54">
        <v>166.74740384210162</v>
      </c>
    </row>
    <row r="474" spans="1:4" x14ac:dyDescent="0.35">
      <c r="A474" s="59" t="s">
        <v>183</v>
      </c>
      <c r="B474" s="60">
        <v>45627</v>
      </c>
      <c r="C474" s="54">
        <v>171.06766925531639</v>
      </c>
      <c r="D474" s="54">
        <v>171.06766925531639</v>
      </c>
    </row>
    <row r="475" spans="1:4" x14ac:dyDescent="0.35">
      <c r="A475" s="59" t="s">
        <v>183</v>
      </c>
      <c r="B475" s="60">
        <v>45634</v>
      </c>
      <c r="C475" s="54">
        <v>153.10504212755478</v>
      </c>
      <c r="D475" s="54">
        <v>153.10504212755478</v>
      </c>
    </row>
    <row r="476" spans="1:4" x14ac:dyDescent="0.35">
      <c r="A476" s="59" t="s">
        <v>183</v>
      </c>
      <c r="B476" s="60">
        <v>45641</v>
      </c>
      <c r="C476" s="54">
        <v>174.05297620236934</v>
      </c>
      <c r="D476" s="54">
        <v>174.05297620236934</v>
      </c>
    </row>
    <row r="477" spans="1:4" x14ac:dyDescent="0.35">
      <c r="A477" s="59" t="s">
        <v>183</v>
      </c>
      <c r="B477" s="60">
        <v>45648</v>
      </c>
      <c r="C477" s="54">
        <v>178.0751361802225</v>
      </c>
      <c r="D477" s="54">
        <v>178.0751361802225</v>
      </c>
    </row>
    <row r="478" spans="1:4" x14ac:dyDescent="0.35">
      <c r="A478" s="59" t="s">
        <v>183</v>
      </c>
      <c r="B478" s="60">
        <v>45655</v>
      </c>
      <c r="C478" s="54">
        <v>160.80223803436616</v>
      </c>
      <c r="D478" s="54">
        <v>160.80223803436616</v>
      </c>
    </row>
    <row r="479" spans="1:4" x14ac:dyDescent="0.35">
      <c r="A479" s="59" t="s">
        <v>184</v>
      </c>
      <c r="B479" s="60">
        <v>44570</v>
      </c>
      <c r="C479" s="54">
        <v>100.0000005156902</v>
      </c>
      <c r="D479" s="54">
        <v>100.0000005156902</v>
      </c>
    </row>
    <row r="480" spans="1:4" x14ac:dyDescent="0.35">
      <c r="A480" s="59" t="s">
        <v>184</v>
      </c>
      <c r="B480" s="60">
        <v>44577</v>
      </c>
      <c r="C480" s="54">
        <v>100.00000000070374</v>
      </c>
      <c r="D480" s="54">
        <v>100.00000000070374</v>
      </c>
    </row>
    <row r="481" spans="1:4" x14ac:dyDescent="0.35">
      <c r="A481" s="59" t="s">
        <v>184</v>
      </c>
      <c r="B481" s="60">
        <v>44584</v>
      </c>
      <c r="C481" s="54">
        <v>100.00000019519045</v>
      </c>
      <c r="D481" s="54">
        <v>100.00000019519045</v>
      </c>
    </row>
    <row r="482" spans="1:4" x14ac:dyDescent="0.35">
      <c r="A482" s="59" t="s">
        <v>184</v>
      </c>
      <c r="B482" s="60">
        <v>44591</v>
      </c>
      <c r="C482" s="54">
        <v>100.00046048574131</v>
      </c>
      <c r="D482" s="54">
        <v>100.00046048574131</v>
      </c>
    </row>
    <row r="483" spans="1:4" x14ac:dyDescent="0.35">
      <c r="A483" s="59" t="s">
        <v>184</v>
      </c>
      <c r="B483" s="60">
        <v>44598</v>
      </c>
      <c r="C483" s="54">
        <v>100.00015726212922</v>
      </c>
      <c r="D483" s="54">
        <v>100.00015726212922</v>
      </c>
    </row>
    <row r="484" spans="1:4" x14ac:dyDescent="0.35">
      <c r="A484" s="59" t="s">
        <v>184</v>
      </c>
      <c r="B484" s="60">
        <v>44605</v>
      </c>
      <c r="C484" s="54">
        <v>100.00000025831338</v>
      </c>
      <c r="D484" s="54">
        <v>100.00000025831338</v>
      </c>
    </row>
    <row r="485" spans="1:4" x14ac:dyDescent="0.35">
      <c r="A485" s="59" t="s">
        <v>184</v>
      </c>
      <c r="B485" s="60">
        <v>44612</v>
      </c>
      <c r="C485" s="54">
        <v>100.15801992967535</v>
      </c>
      <c r="D485" s="54">
        <v>100.15801992967535</v>
      </c>
    </row>
    <row r="486" spans="1:4" x14ac:dyDescent="0.35">
      <c r="A486" s="59" t="s">
        <v>184</v>
      </c>
      <c r="B486" s="60">
        <v>44619</v>
      </c>
      <c r="C486" s="54">
        <v>100.00733702570049</v>
      </c>
      <c r="D486" s="54">
        <v>100.00733702570049</v>
      </c>
    </row>
    <row r="487" spans="1:4" x14ac:dyDescent="0.35">
      <c r="A487" s="59" t="s">
        <v>184</v>
      </c>
      <c r="B487" s="60">
        <v>44626</v>
      </c>
      <c r="C487" s="54">
        <v>100.00029550640552</v>
      </c>
      <c r="D487" s="54">
        <v>100.00029550640552</v>
      </c>
    </row>
    <row r="488" spans="1:4" x14ac:dyDescent="0.35">
      <c r="A488" s="59" t="s">
        <v>184</v>
      </c>
      <c r="B488" s="60">
        <v>44633</v>
      </c>
      <c r="C488" s="54">
        <v>100.26116287977756</v>
      </c>
      <c r="D488" s="54">
        <v>100.26116287977756</v>
      </c>
    </row>
    <row r="489" spans="1:4" x14ac:dyDescent="0.35">
      <c r="A489" s="59" t="s">
        <v>184</v>
      </c>
      <c r="B489" s="60">
        <v>44640</v>
      </c>
      <c r="C489" s="54">
        <v>100.35850515973537</v>
      </c>
      <c r="D489" s="54">
        <v>100.35850515973537</v>
      </c>
    </row>
    <row r="490" spans="1:4" x14ac:dyDescent="0.35">
      <c r="A490" s="59" t="s">
        <v>184</v>
      </c>
      <c r="B490" s="60">
        <v>44647</v>
      </c>
      <c r="C490" s="54">
        <v>100.45750428099876</v>
      </c>
      <c r="D490" s="54">
        <v>100.45750428099876</v>
      </c>
    </row>
    <row r="491" spans="1:4" x14ac:dyDescent="0.35">
      <c r="A491" s="59" t="s">
        <v>184</v>
      </c>
      <c r="B491" s="60">
        <v>44654</v>
      </c>
      <c r="C491" s="54">
        <v>100.03334906211487</v>
      </c>
      <c r="D491" s="54">
        <v>100.03334906211487</v>
      </c>
    </row>
    <row r="492" spans="1:4" x14ac:dyDescent="0.35">
      <c r="A492" s="59" t="s">
        <v>184</v>
      </c>
      <c r="B492" s="60">
        <v>44661</v>
      </c>
      <c r="C492" s="54">
        <v>105.21689761531502</v>
      </c>
      <c r="D492" s="54">
        <v>105.21689761531502</v>
      </c>
    </row>
    <row r="493" spans="1:4" x14ac:dyDescent="0.35">
      <c r="A493" s="59" t="s">
        <v>184</v>
      </c>
      <c r="B493" s="60">
        <v>44668</v>
      </c>
      <c r="C493" s="54">
        <v>107.55376957788663</v>
      </c>
      <c r="D493" s="54">
        <v>107.55376957788663</v>
      </c>
    </row>
    <row r="494" spans="1:4" x14ac:dyDescent="0.35">
      <c r="A494" s="59" t="s">
        <v>184</v>
      </c>
      <c r="B494" s="60">
        <v>44675</v>
      </c>
      <c r="C494" s="54">
        <v>109.0225746105167</v>
      </c>
      <c r="D494" s="54">
        <v>109.0225746105167</v>
      </c>
    </row>
    <row r="495" spans="1:4" x14ac:dyDescent="0.35">
      <c r="A495" s="59" t="s">
        <v>184</v>
      </c>
      <c r="B495" s="60">
        <v>44682</v>
      </c>
      <c r="C495" s="54">
        <v>100.68166669490411</v>
      </c>
      <c r="D495" s="54">
        <v>100.68166669490411</v>
      </c>
    </row>
    <row r="496" spans="1:4" x14ac:dyDescent="0.35">
      <c r="A496" s="59" t="s">
        <v>184</v>
      </c>
      <c r="B496" s="60">
        <v>44689</v>
      </c>
      <c r="C496" s="54">
        <v>101.16841179949934</v>
      </c>
      <c r="D496" s="54">
        <v>101.16841179949934</v>
      </c>
    </row>
    <row r="497" spans="1:4" x14ac:dyDescent="0.35">
      <c r="A497" s="59" t="s">
        <v>184</v>
      </c>
      <c r="B497" s="60">
        <v>44696</v>
      </c>
      <c r="C497" s="54">
        <v>109.07961092252512</v>
      </c>
      <c r="D497" s="54">
        <v>109.07961092252512</v>
      </c>
    </row>
    <row r="498" spans="1:4" x14ac:dyDescent="0.35">
      <c r="A498" s="59" t="s">
        <v>184</v>
      </c>
      <c r="B498" s="60">
        <v>44703</v>
      </c>
      <c r="C498" s="54">
        <v>120.74734014300732</v>
      </c>
      <c r="D498" s="54">
        <v>120.74734014300732</v>
      </c>
    </row>
    <row r="499" spans="1:4" x14ac:dyDescent="0.35">
      <c r="A499" s="59" t="s">
        <v>184</v>
      </c>
      <c r="B499" s="60">
        <v>44710</v>
      </c>
      <c r="C499" s="54">
        <v>124.74546418698209</v>
      </c>
      <c r="D499" s="54">
        <v>124.74546418698209</v>
      </c>
    </row>
    <row r="500" spans="1:4" x14ac:dyDescent="0.35">
      <c r="A500" s="59" t="s">
        <v>184</v>
      </c>
      <c r="B500" s="60">
        <v>44717</v>
      </c>
      <c r="C500" s="54">
        <v>124.64860921560839</v>
      </c>
      <c r="D500" s="54">
        <v>124.64860921560839</v>
      </c>
    </row>
    <row r="501" spans="1:4" x14ac:dyDescent="0.35">
      <c r="A501" s="59" t="s">
        <v>184</v>
      </c>
      <c r="B501" s="60">
        <v>44724</v>
      </c>
      <c r="C501" s="54">
        <v>111.03022238516142</v>
      </c>
      <c r="D501" s="54">
        <v>111.03022238516142</v>
      </c>
    </row>
    <row r="502" spans="1:4" x14ac:dyDescent="0.35">
      <c r="A502" s="59" t="s">
        <v>184</v>
      </c>
      <c r="B502" s="60">
        <v>44731</v>
      </c>
      <c r="C502" s="54">
        <v>133.67728328972683</v>
      </c>
      <c r="D502" s="54">
        <v>133.67728328972683</v>
      </c>
    </row>
    <row r="503" spans="1:4" x14ac:dyDescent="0.35">
      <c r="A503" s="59" t="s">
        <v>184</v>
      </c>
      <c r="B503" s="60">
        <v>44738</v>
      </c>
      <c r="C503" s="54">
        <v>103.00271864326368</v>
      </c>
      <c r="D503" s="54">
        <v>103.00271864326368</v>
      </c>
    </row>
    <row r="504" spans="1:4" x14ac:dyDescent="0.35">
      <c r="A504" s="59" t="s">
        <v>184</v>
      </c>
      <c r="B504" s="60">
        <v>44745</v>
      </c>
      <c r="C504" s="54">
        <v>103.01636096246881</v>
      </c>
      <c r="D504" s="54">
        <v>103.01636096246881</v>
      </c>
    </row>
    <row r="505" spans="1:4" x14ac:dyDescent="0.35">
      <c r="A505" s="59" t="s">
        <v>184</v>
      </c>
      <c r="B505" s="60">
        <v>44752</v>
      </c>
      <c r="C505" s="54">
        <v>113.40418622017927</v>
      </c>
      <c r="D505" s="54">
        <v>113.40418622017927</v>
      </c>
    </row>
    <row r="506" spans="1:4" x14ac:dyDescent="0.35">
      <c r="A506" s="59" t="s">
        <v>184</v>
      </c>
      <c r="B506" s="60">
        <v>44759</v>
      </c>
      <c r="C506" s="54">
        <v>100.20487497799468</v>
      </c>
      <c r="D506" s="54">
        <v>100.20487497799468</v>
      </c>
    </row>
    <row r="507" spans="1:4" x14ac:dyDescent="0.35">
      <c r="A507" s="59" t="s">
        <v>184</v>
      </c>
      <c r="B507" s="60">
        <v>44766</v>
      </c>
      <c r="C507" s="54">
        <v>100.70491091843753</v>
      </c>
      <c r="D507" s="54">
        <v>100.70491091843753</v>
      </c>
    </row>
    <row r="508" spans="1:4" x14ac:dyDescent="0.35">
      <c r="A508" s="59" t="s">
        <v>184</v>
      </c>
      <c r="B508" s="60">
        <v>44773</v>
      </c>
      <c r="C508" s="54">
        <v>100.1617618740887</v>
      </c>
      <c r="D508" s="54">
        <v>100.1617618740887</v>
      </c>
    </row>
    <row r="509" spans="1:4" x14ac:dyDescent="0.35">
      <c r="A509" s="59" t="s">
        <v>184</v>
      </c>
      <c r="B509" s="60">
        <v>44780</v>
      </c>
      <c r="C509" s="54">
        <v>100.95188016322066</v>
      </c>
      <c r="D509" s="54">
        <v>100.95188016322066</v>
      </c>
    </row>
    <row r="510" spans="1:4" x14ac:dyDescent="0.35">
      <c r="A510" s="59" t="s">
        <v>184</v>
      </c>
      <c r="B510" s="60">
        <v>44787</v>
      </c>
      <c r="C510" s="54">
        <v>106.56702498845473</v>
      </c>
      <c r="D510" s="54">
        <v>106.56702498845473</v>
      </c>
    </row>
    <row r="511" spans="1:4" x14ac:dyDescent="0.35">
      <c r="A511" s="59" t="s">
        <v>184</v>
      </c>
      <c r="B511" s="60">
        <v>44794</v>
      </c>
      <c r="C511" s="54">
        <v>107.19626279603426</v>
      </c>
      <c r="D511" s="54">
        <v>107.19626279603426</v>
      </c>
    </row>
    <row r="512" spans="1:4" x14ac:dyDescent="0.35">
      <c r="A512" s="59" t="s">
        <v>184</v>
      </c>
      <c r="B512" s="60">
        <v>44801</v>
      </c>
      <c r="C512" s="54">
        <v>100.18606213269703</v>
      </c>
      <c r="D512" s="54">
        <v>100.18606213269703</v>
      </c>
    </row>
    <row r="513" spans="1:4" x14ac:dyDescent="0.35">
      <c r="A513" s="59" t="s">
        <v>184</v>
      </c>
      <c r="B513" s="60">
        <v>44808</v>
      </c>
      <c r="C513" s="54">
        <v>101.0301798884453</v>
      </c>
      <c r="D513" s="54">
        <v>101.0301798884453</v>
      </c>
    </row>
    <row r="514" spans="1:4" x14ac:dyDescent="0.35">
      <c r="A514" s="59" t="s">
        <v>184</v>
      </c>
      <c r="B514" s="60">
        <v>44815</v>
      </c>
      <c r="C514" s="54">
        <v>102.791505276254</v>
      </c>
      <c r="D514" s="54">
        <v>102.791505276254</v>
      </c>
    </row>
    <row r="515" spans="1:4" x14ac:dyDescent="0.35">
      <c r="A515" s="59" t="s">
        <v>184</v>
      </c>
      <c r="B515" s="60">
        <v>44822</v>
      </c>
      <c r="C515" s="54">
        <v>116.50069974238302</v>
      </c>
      <c r="D515" s="54">
        <v>116.50069974238302</v>
      </c>
    </row>
    <row r="516" spans="1:4" x14ac:dyDescent="0.35">
      <c r="A516" s="59" t="s">
        <v>184</v>
      </c>
      <c r="B516" s="60">
        <v>44829</v>
      </c>
      <c r="C516" s="54">
        <v>111.0532442920254</v>
      </c>
      <c r="D516" s="54">
        <v>111.0532442920254</v>
      </c>
    </row>
    <row r="517" spans="1:4" x14ac:dyDescent="0.35">
      <c r="A517" s="59" t="s">
        <v>184</v>
      </c>
      <c r="B517" s="60">
        <v>44836</v>
      </c>
      <c r="C517" s="54">
        <v>109.68099825230077</v>
      </c>
      <c r="D517" s="54">
        <v>109.68099825230077</v>
      </c>
    </row>
    <row r="518" spans="1:4" x14ac:dyDescent="0.35">
      <c r="A518" s="59" t="s">
        <v>184</v>
      </c>
      <c r="B518" s="60">
        <v>44843</v>
      </c>
      <c r="C518" s="54">
        <v>116.6085270712949</v>
      </c>
      <c r="D518" s="54">
        <v>116.6085270712949</v>
      </c>
    </row>
    <row r="519" spans="1:4" x14ac:dyDescent="0.35">
      <c r="A519" s="59" t="s">
        <v>184</v>
      </c>
      <c r="B519" s="60">
        <v>44850</v>
      </c>
      <c r="C519" s="54">
        <v>114.42494368779764</v>
      </c>
      <c r="D519" s="54">
        <v>114.42494368779764</v>
      </c>
    </row>
    <row r="520" spans="1:4" x14ac:dyDescent="0.35">
      <c r="A520" s="59" t="s">
        <v>184</v>
      </c>
      <c r="B520" s="60">
        <v>44857</v>
      </c>
      <c r="C520" s="54">
        <v>106.13357571165525</v>
      </c>
      <c r="D520" s="54">
        <v>106.13357571165525</v>
      </c>
    </row>
    <row r="521" spans="1:4" x14ac:dyDescent="0.35">
      <c r="A521" s="59" t="s">
        <v>184</v>
      </c>
      <c r="B521" s="60">
        <v>44864</v>
      </c>
      <c r="C521" s="54">
        <v>116.08759539705616</v>
      </c>
      <c r="D521" s="54">
        <v>116.08759539705616</v>
      </c>
    </row>
    <row r="522" spans="1:4" x14ac:dyDescent="0.35">
      <c r="A522" s="59" t="s">
        <v>184</v>
      </c>
      <c r="B522" s="60">
        <v>44871</v>
      </c>
      <c r="C522" s="54">
        <v>103.78149863399841</v>
      </c>
      <c r="D522" s="54">
        <v>103.78149863399841</v>
      </c>
    </row>
    <row r="523" spans="1:4" x14ac:dyDescent="0.35">
      <c r="A523" s="59" t="s">
        <v>184</v>
      </c>
      <c r="B523" s="60">
        <v>44878</v>
      </c>
      <c r="C523" s="54">
        <v>106.35446690753081</v>
      </c>
      <c r="D523" s="54">
        <v>106.35446690753081</v>
      </c>
    </row>
    <row r="524" spans="1:4" x14ac:dyDescent="0.35">
      <c r="A524" s="59" t="s">
        <v>184</v>
      </c>
      <c r="B524" s="60">
        <v>44885</v>
      </c>
      <c r="C524" s="54">
        <v>101.04912524133682</v>
      </c>
      <c r="D524" s="54">
        <v>101.04912524133682</v>
      </c>
    </row>
    <row r="525" spans="1:4" x14ac:dyDescent="0.35">
      <c r="A525" s="59" t="s">
        <v>184</v>
      </c>
      <c r="B525" s="60">
        <v>44892</v>
      </c>
      <c r="C525" s="54">
        <v>100.78575996224022</v>
      </c>
      <c r="D525" s="54">
        <v>100.78575996224022</v>
      </c>
    </row>
    <row r="526" spans="1:4" x14ac:dyDescent="0.35">
      <c r="A526" s="59" t="s">
        <v>184</v>
      </c>
      <c r="B526" s="60">
        <v>44899</v>
      </c>
      <c r="C526" s="54">
        <v>105.25763170325754</v>
      </c>
      <c r="D526" s="54">
        <v>105.25763170325754</v>
      </c>
    </row>
    <row r="527" spans="1:4" x14ac:dyDescent="0.35">
      <c r="A527" s="59" t="s">
        <v>184</v>
      </c>
      <c r="B527" s="60">
        <v>44906</v>
      </c>
      <c r="C527" s="54">
        <v>100.08780624106072</v>
      </c>
      <c r="D527" s="54">
        <v>100.08780624106072</v>
      </c>
    </row>
    <row r="528" spans="1:4" x14ac:dyDescent="0.35">
      <c r="A528" s="59" t="s">
        <v>184</v>
      </c>
      <c r="B528" s="60">
        <v>44913</v>
      </c>
      <c r="C528" s="54">
        <v>103.66742337302041</v>
      </c>
      <c r="D528" s="54">
        <v>103.66742337302041</v>
      </c>
    </row>
    <row r="529" spans="1:4" x14ac:dyDescent="0.35">
      <c r="A529" s="59" t="s">
        <v>184</v>
      </c>
      <c r="B529" s="60">
        <v>44920</v>
      </c>
      <c r="C529" s="54">
        <v>100.30864255551376</v>
      </c>
      <c r="D529" s="54">
        <v>100.30864255551376</v>
      </c>
    </row>
    <row r="530" spans="1:4" x14ac:dyDescent="0.35">
      <c r="A530" s="59" t="s">
        <v>184</v>
      </c>
      <c r="B530" s="60">
        <v>44927</v>
      </c>
      <c r="C530" s="54">
        <v>100.21363858683731</v>
      </c>
      <c r="D530" s="54">
        <v>100.21363858683731</v>
      </c>
    </row>
    <row r="531" spans="1:4" x14ac:dyDescent="0.35">
      <c r="A531" s="59" t="s">
        <v>184</v>
      </c>
      <c r="B531" s="60">
        <v>44934</v>
      </c>
      <c r="C531" s="54">
        <v>100.00000000000168</v>
      </c>
      <c r="D531" s="54">
        <v>100.00000000000168</v>
      </c>
    </row>
    <row r="532" spans="1:4" x14ac:dyDescent="0.35">
      <c r="A532" s="59" t="s">
        <v>184</v>
      </c>
      <c r="B532" s="60">
        <v>44941</v>
      </c>
      <c r="C532" s="54">
        <v>100.00000144667339</v>
      </c>
      <c r="D532" s="54">
        <v>100.00000144667339</v>
      </c>
    </row>
    <row r="533" spans="1:4" x14ac:dyDescent="0.35">
      <c r="A533" s="59" t="s">
        <v>184</v>
      </c>
      <c r="B533" s="60">
        <v>44948</v>
      </c>
      <c r="C533" s="54">
        <v>100.00000036266788</v>
      </c>
      <c r="D533" s="54">
        <v>100.00000036266788</v>
      </c>
    </row>
    <row r="534" spans="1:4" x14ac:dyDescent="0.35">
      <c r="A534" s="59" t="s">
        <v>184</v>
      </c>
      <c r="B534" s="60">
        <v>44955</v>
      </c>
      <c r="C534" s="54">
        <v>100.00000002229895</v>
      </c>
      <c r="D534" s="54">
        <v>100.00000002229895</v>
      </c>
    </row>
    <row r="535" spans="1:4" x14ac:dyDescent="0.35">
      <c r="A535" s="59" t="s">
        <v>184</v>
      </c>
      <c r="B535" s="60">
        <v>44962</v>
      </c>
      <c r="C535" s="54">
        <v>100.00000051077146</v>
      </c>
      <c r="D535" s="54">
        <v>100.00000051077146</v>
      </c>
    </row>
    <row r="536" spans="1:4" x14ac:dyDescent="0.35">
      <c r="A536" s="59" t="s">
        <v>184</v>
      </c>
      <c r="B536" s="60">
        <v>44969</v>
      </c>
      <c r="C536" s="54">
        <v>100.00000021764413</v>
      </c>
      <c r="D536" s="54">
        <v>100.00000021764413</v>
      </c>
    </row>
    <row r="537" spans="1:4" x14ac:dyDescent="0.35">
      <c r="A537" s="59" t="s">
        <v>184</v>
      </c>
      <c r="B537" s="60">
        <v>44976</v>
      </c>
      <c r="C537" s="54">
        <v>100.00000279949866</v>
      </c>
      <c r="D537" s="54">
        <v>100.00000279949866</v>
      </c>
    </row>
    <row r="538" spans="1:4" x14ac:dyDescent="0.35">
      <c r="A538" s="59" t="s">
        <v>184</v>
      </c>
      <c r="B538" s="60">
        <v>44983</v>
      </c>
      <c r="C538" s="54">
        <v>100.00006939157359</v>
      </c>
      <c r="D538" s="54">
        <v>100.00006939157359</v>
      </c>
    </row>
    <row r="539" spans="1:4" x14ac:dyDescent="0.35">
      <c r="A539" s="59" t="s">
        <v>184</v>
      </c>
      <c r="B539" s="60">
        <v>44990</v>
      </c>
      <c r="C539" s="54">
        <v>100.06287201096558</v>
      </c>
      <c r="D539" s="54">
        <v>100.06287201096558</v>
      </c>
    </row>
    <row r="540" spans="1:4" x14ac:dyDescent="0.35">
      <c r="A540" s="59" t="s">
        <v>184</v>
      </c>
      <c r="B540" s="60">
        <v>44997</v>
      </c>
      <c r="C540" s="54">
        <v>100.00382651177524</v>
      </c>
      <c r="D540" s="54">
        <v>100.00382651177524</v>
      </c>
    </row>
    <row r="541" spans="1:4" x14ac:dyDescent="0.35">
      <c r="A541" s="59" t="s">
        <v>184</v>
      </c>
      <c r="B541" s="60">
        <v>45004</v>
      </c>
      <c r="C541" s="54">
        <v>100.05783731513726</v>
      </c>
      <c r="D541" s="54">
        <v>100.05783731513726</v>
      </c>
    </row>
    <row r="542" spans="1:4" x14ac:dyDescent="0.35">
      <c r="A542" s="59" t="s">
        <v>184</v>
      </c>
      <c r="B542" s="60">
        <v>45011</v>
      </c>
      <c r="C542" s="54">
        <v>104.16958302803829</v>
      </c>
      <c r="D542" s="54">
        <v>104.16958302803829</v>
      </c>
    </row>
    <row r="543" spans="1:4" x14ac:dyDescent="0.35">
      <c r="A543" s="59" t="s">
        <v>184</v>
      </c>
      <c r="B543" s="60">
        <v>45018</v>
      </c>
      <c r="C543" s="54">
        <v>100.03896143414005</v>
      </c>
      <c r="D543" s="54">
        <v>100.03896143414005</v>
      </c>
    </row>
    <row r="544" spans="1:4" x14ac:dyDescent="0.35">
      <c r="A544" s="59" t="s">
        <v>184</v>
      </c>
      <c r="B544" s="60">
        <v>45025</v>
      </c>
      <c r="C544" s="54">
        <v>100.50104265170546</v>
      </c>
      <c r="D544" s="54">
        <v>100.50104265170546</v>
      </c>
    </row>
    <row r="545" spans="1:4" x14ac:dyDescent="0.35">
      <c r="A545" s="59" t="s">
        <v>184</v>
      </c>
      <c r="B545" s="60">
        <v>45032</v>
      </c>
      <c r="C545" s="54">
        <v>102.94302886525134</v>
      </c>
      <c r="D545" s="54">
        <v>102.94302886525134</v>
      </c>
    </row>
    <row r="546" spans="1:4" x14ac:dyDescent="0.35">
      <c r="A546" s="59" t="s">
        <v>184</v>
      </c>
      <c r="B546" s="60">
        <v>45039</v>
      </c>
      <c r="C546" s="54">
        <v>112.48699753417911</v>
      </c>
      <c r="D546" s="54">
        <v>112.48699753417911</v>
      </c>
    </row>
    <row r="547" spans="1:4" x14ac:dyDescent="0.35">
      <c r="A547" s="59" t="s">
        <v>184</v>
      </c>
      <c r="B547" s="60">
        <v>45046</v>
      </c>
      <c r="C547" s="54">
        <v>126.99041871397228</v>
      </c>
      <c r="D547" s="54">
        <v>126.99041871397228</v>
      </c>
    </row>
    <row r="548" spans="1:4" x14ac:dyDescent="0.35">
      <c r="A548" s="59" t="s">
        <v>184</v>
      </c>
      <c r="B548" s="60">
        <v>45053</v>
      </c>
      <c r="C548" s="54">
        <v>112.37309393374949</v>
      </c>
      <c r="D548" s="54">
        <v>112.37309393374949</v>
      </c>
    </row>
    <row r="549" spans="1:4" x14ac:dyDescent="0.35">
      <c r="A549" s="59" t="s">
        <v>184</v>
      </c>
      <c r="B549" s="60">
        <v>45060</v>
      </c>
      <c r="C549" s="54">
        <v>121.93893298378418</v>
      </c>
      <c r="D549" s="54">
        <v>121.93893298378418</v>
      </c>
    </row>
    <row r="550" spans="1:4" x14ac:dyDescent="0.35">
      <c r="A550" s="59" t="s">
        <v>184</v>
      </c>
      <c r="B550" s="60">
        <v>45067</v>
      </c>
      <c r="C550" s="54">
        <v>136.31098914407119</v>
      </c>
      <c r="D550" s="54">
        <v>136.31098914407119</v>
      </c>
    </row>
    <row r="551" spans="1:4" x14ac:dyDescent="0.35">
      <c r="A551" s="59" t="s">
        <v>184</v>
      </c>
      <c r="B551" s="60">
        <v>45074</v>
      </c>
      <c r="C551" s="54">
        <v>122.93854622731325</v>
      </c>
      <c r="D551" s="54">
        <v>122.93854622731325</v>
      </c>
    </row>
    <row r="552" spans="1:4" x14ac:dyDescent="0.35">
      <c r="A552" s="59" t="s">
        <v>184</v>
      </c>
      <c r="B552" s="60">
        <v>45081</v>
      </c>
      <c r="C552" s="54">
        <v>111.43863206581604</v>
      </c>
      <c r="D552" s="54">
        <v>111.43863206581604</v>
      </c>
    </row>
    <row r="553" spans="1:4" x14ac:dyDescent="0.35">
      <c r="A553" s="59" t="s">
        <v>184</v>
      </c>
      <c r="B553" s="60">
        <v>45088</v>
      </c>
      <c r="C553" s="54">
        <v>104.65998561338068</v>
      </c>
      <c r="D553" s="54">
        <v>104.65998561338068</v>
      </c>
    </row>
    <row r="554" spans="1:4" x14ac:dyDescent="0.35">
      <c r="A554" s="59" t="s">
        <v>184</v>
      </c>
      <c r="B554" s="60">
        <v>45095</v>
      </c>
      <c r="C554" s="54">
        <v>130.39703705774167</v>
      </c>
      <c r="D554" s="54">
        <v>130.39703705774167</v>
      </c>
    </row>
    <row r="555" spans="1:4" x14ac:dyDescent="0.35">
      <c r="A555" s="59" t="s">
        <v>184</v>
      </c>
      <c r="B555" s="60">
        <v>45102</v>
      </c>
      <c r="C555" s="54">
        <v>110.26182557588483</v>
      </c>
      <c r="D555" s="54">
        <v>110.26182557588483</v>
      </c>
    </row>
    <row r="556" spans="1:4" x14ac:dyDescent="0.35">
      <c r="A556" s="59" t="s">
        <v>184</v>
      </c>
      <c r="B556" s="60">
        <v>45109</v>
      </c>
      <c r="C556" s="54">
        <v>105.76618940902274</v>
      </c>
      <c r="D556" s="54">
        <v>105.76618940902274</v>
      </c>
    </row>
    <row r="557" spans="1:4" x14ac:dyDescent="0.35">
      <c r="A557" s="59" t="s">
        <v>184</v>
      </c>
      <c r="B557" s="60">
        <v>45116</v>
      </c>
      <c r="C557" s="54">
        <v>101.0751852150912</v>
      </c>
      <c r="D557" s="54">
        <v>101.0751852150912</v>
      </c>
    </row>
    <row r="558" spans="1:4" x14ac:dyDescent="0.35">
      <c r="A558" s="59" t="s">
        <v>184</v>
      </c>
      <c r="B558" s="60">
        <v>45123</v>
      </c>
      <c r="C558" s="54">
        <v>100.16138951016762</v>
      </c>
      <c r="D558" s="54">
        <v>100.16138951016762</v>
      </c>
    </row>
    <row r="559" spans="1:4" x14ac:dyDescent="0.35">
      <c r="A559" s="59" t="s">
        <v>184</v>
      </c>
      <c r="B559" s="60">
        <v>45130</v>
      </c>
      <c r="C559" s="54">
        <v>107.03346422361165</v>
      </c>
      <c r="D559" s="54">
        <v>107.03346422361165</v>
      </c>
    </row>
    <row r="560" spans="1:4" x14ac:dyDescent="0.35">
      <c r="A560" s="59" t="s">
        <v>184</v>
      </c>
      <c r="B560" s="60">
        <v>45137</v>
      </c>
      <c r="C560" s="54">
        <v>100.85428070692998</v>
      </c>
      <c r="D560" s="54">
        <v>100.85428070692998</v>
      </c>
    </row>
    <row r="561" spans="1:4" x14ac:dyDescent="0.35">
      <c r="A561" s="59" t="s">
        <v>184</v>
      </c>
      <c r="B561" s="60">
        <v>45144</v>
      </c>
      <c r="C561" s="54">
        <v>101.95496180679837</v>
      </c>
      <c r="D561" s="54">
        <v>101.95496180679837</v>
      </c>
    </row>
    <row r="562" spans="1:4" x14ac:dyDescent="0.35">
      <c r="A562" s="59" t="s">
        <v>184</v>
      </c>
      <c r="B562" s="60">
        <v>45151</v>
      </c>
      <c r="C562" s="54">
        <v>103.35428748338877</v>
      </c>
      <c r="D562" s="54">
        <v>103.35428748338877</v>
      </c>
    </row>
    <row r="563" spans="1:4" x14ac:dyDescent="0.35">
      <c r="A563" s="59" t="s">
        <v>184</v>
      </c>
      <c r="B563" s="60">
        <v>45158</v>
      </c>
      <c r="C563" s="54">
        <v>100.52505452324139</v>
      </c>
      <c r="D563" s="54">
        <v>100.52505452324139</v>
      </c>
    </row>
    <row r="564" spans="1:4" x14ac:dyDescent="0.35">
      <c r="A564" s="59" t="s">
        <v>184</v>
      </c>
      <c r="B564" s="60">
        <v>45165</v>
      </c>
      <c r="C564" s="54">
        <v>101.85631636865168</v>
      </c>
      <c r="D564" s="54">
        <v>101.85631636865168</v>
      </c>
    </row>
    <row r="565" spans="1:4" x14ac:dyDescent="0.35">
      <c r="A565" s="59" t="s">
        <v>184</v>
      </c>
      <c r="B565" s="60">
        <v>45172</v>
      </c>
      <c r="C565" s="54">
        <v>100.29187715358005</v>
      </c>
      <c r="D565" s="54">
        <v>100.29187715358005</v>
      </c>
    </row>
    <row r="566" spans="1:4" x14ac:dyDescent="0.35">
      <c r="A566" s="59" t="s">
        <v>184</v>
      </c>
      <c r="B566" s="60">
        <v>45179</v>
      </c>
      <c r="C566" s="54">
        <v>104.8544405244116</v>
      </c>
      <c r="D566" s="54">
        <v>104.8544405244116</v>
      </c>
    </row>
    <row r="567" spans="1:4" x14ac:dyDescent="0.35">
      <c r="A567" s="59" t="s">
        <v>184</v>
      </c>
      <c r="B567" s="60">
        <v>45186</v>
      </c>
      <c r="C567" s="54">
        <v>107.35405121994214</v>
      </c>
      <c r="D567" s="54">
        <v>107.35405121994214</v>
      </c>
    </row>
    <row r="568" spans="1:4" x14ac:dyDescent="0.35">
      <c r="A568" s="59" t="s">
        <v>184</v>
      </c>
      <c r="B568" s="60">
        <v>45193</v>
      </c>
      <c r="C568" s="54">
        <v>109.89130185345232</v>
      </c>
      <c r="D568" s="54">
        <v>109.89130185345232</v>
      </c>
    </row>
    <row r="569" spans="1:4" x14ac:dyDescent="0.35">
      <c r="A569" s="59" t="s">
        <v>184</v>
      </c>
      <c r="B569" s="60">
        <v>45200</v>
      </c>
      <c r="C569" s="54">
        <v>105.47477312306877</v>
      </c>
      <c r="D569" s="54">
        <v>105.47477312306877</v>
      </c>
    </row>
    <row r="570" spans="1:4" x14ac:dyDescent="0.35">
      <c r="A570" s="59" t="s">
        <v>184</v>
      </c>
      <c r="B570" s="60">
        <v>45207</v>
      </c>
      <c r="C570" s="54">
        <v>105.05042837128441</v>
      </c>
      <c r="D570" s="54">
        <v>105.05042837128441</v>
      </c>
    </row>
    <row r="571" spans="1:4" x14ac:dyDescent="0.35">
      <c r="A571" s="59" t="s">
        <v>184</v>
      </c>
      <c r="B571" s="60">
        <v>45214</v>
      </c>
      <c r="C571" s="54">
        <v>108.81918692221258</v>
      </c>
      <c r="D571" s="54">
        <v>108.81918692221258</v>
      </c>
    </row>
    <row r="572" spans="1:4" x14ac:dyDescent="0.35">
      <c r="A572" s="59" t="s">
        <v>184</v>
      </c>
      <c r="B572" s="60">
        <v>45221</v>
      </c>
      <c r="C572" s="54">
        <v>113.0851853069254</v>
      </c>
      <c r="D572" s="54">
        <v>113.0851853069254</v>
      </c>
    </row>
    <row r="573" spans="1:4" x14ac:dyDescent="0.35">
      <c r="A573" s="59" t="s">
        <v>184</v>
      </c>
      <c r="B573" s="60">
        <v>45228</v>
      </c>
      <c r="C573" s="54">
        <v>118.45451758970998</v>
      </c>
      <c r="D573" s="54">
        <v>118.45451758970998</v>
      </c>
    </row>
    <row r="574" spans="1:4" x14ac:dyDescent="0.35">
      <c r="A574" s="59" t="s">
        <v>184</v>
      </c>
      <c r="B574" s="60">
        <v>45235</v>
      </c>
      <c r="C574" s="54">
        <v>101.95160557253656</v>
      </c>
      <c r="D574" s="54">
        <v>101.95160557253656</v>
      </c>
    </row>
    <row r="575" spans="1:4" x14ac:dyDescent="0.35">
      <c r="A575" s="59" t="s">
        <v>184</v>
      </c>
      <c r="B575" s="60">
        <v>45242</v>
      </c>
      <c r="C575" s="54">
        <v>102.91753806553893</v>
      </c>
      <c r="D575" s="54">
        <v>102.91753806553893</v>
      </c>
    </row>
    <row r="576" spans="1:4" x14ac:dyDescent="0.35">
      <c r="A576" s="59" t="s">
        <v>184</v>
      </c>
      <c r="B576" s="60">
        <v>45249</v>
      </c>
      <c r="C576" s="54">
        <v>104.66584395845631</v>
      </c>
      <c r="D576" s="54">
        <v>104.66584395845631</v>
      </c>
    </row>
    <row r="577" spans="1:4" x14ac:dyDescent="0.35">
      <c r="A577" s="59" t="s">
        <v>184</v>
      </c>
      <c r="B577" s="60">
        <v>45256</v>
      </c>
      <c r="C577" s="54">
        <v>100.71079737386316</v>
      </c>
      <c r="D577" s="54">
        <v>100.71079737386316</v>
      </c>
    </row>
    <row r="578" spans="1:4" x14ac:dyDescent="0.35">
      <c r="A578" s="59" t="s">
        <v>184</v>
      </c>
      <c r="B578" s="60">
        <v>45263</v>
      </c>
      <c r="C578" s="54">
        <v>100.33598072424367</v>
      </c>
      <c r="D578" s="54">
        <v>100.33598072424367</v>
      </c>
    </row>
    <row r="579" spans="1:4" x14ac:dyDescent="0.35">
      <c r="A579" s="59" t="s">
        <v>184</v>
      </c>
      <c r="B579" s="60">
        <v>45270</v>
      </c>
      <c r="C579" s="54">
        <v>100.07976482764678</v>
      </c>
      <c r="D579" s="54">
        <v>100.07976482764678</v>
      </c>
    </row>
    <row r="580" spans="1:4" x14ac:dyDescent="0.35">
      <c r="A580" s="59" t="s">
        <v>184</v>
      </c>
      <c r="B580" s="60">
        <v>45277</v>
      </c>
      <c r="C580" s="54">
        <v>100.34121293021138</v>
      </c>
      <c r="D580" s="54">
        <v>100.34121293021138</v>
      </c>
    </row>
    <row r="581" spans="1:4" x14ac:dyDescent="0.35">
      <c r="A581" s="59" t="s">
        <v>184</v>
      </c>
      <c r="B581" s="60">
        <v>45284</v>
      </c>
      <c r="C581" s="54">
        <v>100.26493431914309</v>
      </c>
      <c r="D581" s="54">
        <v>100.26493431914309</v>
      </c>
    </row>
    <row r="582" spans="1:4" x14ac:dyDescent="0.35">
      <c r="A582" s="59" t="s">
        <v>184</v>
      </c>
      <c r="B582" s="60">
        <v>45291</v>
      </c>
      <c r="C582" s="54">
        <v>100.09086031983007</v>
      </c>
      <c r="D582" s="54">
        <v>100.09086031983007</v>
      </c>
    </row>
    <row r="583" spans="1:4" x14ac:dyDescent="0.35">
      <c r="A583" s="59" t="s">
        <v>184</v>
      </c>
      <c r="B583" s="60">
        <v>45298</v>
      </c>
      <c r="C583" s="54">
        <v>100.000000008889</v>
      </c>
      <c r="D583" s="54">
        <v>100.000000008889</v>
      </c>
    </row>
    <row r="584" spans="1:4" x14ac:dyDescent="0.35">
      <c r="A584" s="59" t="s">
        <v>184</v>
      </c>
      <c r="B584" s="60">
        <v>45305</v>
      </c>
      <c r="C584" s="54">
        <v>100.00000005683501</v>
      </c>
      <c r="D584" s="54">
        <v>100.00000005683501</v>
      </c>
    </row>
    <row r="585" spans="1:4" x14ac:dyDescent="0.35">
      <c r="A585" s="59" t="s">
        <v>184</v>
      </c>
      <c r="B585" s="60">
        <v>45312</v>
      </c>
      <c r="C585" s="54">
        <v>100.00000025101076</v>
      </c>
      <c r="D585" s="54">
        <v>100.00000025101076</v>
      </c>
    </row>
    <row r="586" spans="1:4" x14ac:dyDescent="0.35">
      <c r="A586" s="59" t="s">
        <v>184</v>
      </c>
      <c r="B586" s="60">
        <v>45319</v>
      </c>
      <c r="C586" s="54">
        <v>100.00217775891427</v>
      </c>
      <c r="D586" s="54">
        <v>100.00217775891427</v>
      </c>
    </row>
    <row r="587" spans="1:4" x14ac:dyDescent="0.35">
      <c r="A587" s="59" t="s">
        <v>184</v>
      </c>
      <c r="B587" s="60">
        <v>45326</v>
      </c>
      <c r="C587" s="54">
        <v>100.00000504807301</v>
      </c>
      <c r="D587" s="54">
        <v>100.00000504807301</v>
      </c>
    </row>
    <row r="588" spans="1:4" x14ac:dyDescent="0.35">
      <c r="A588" s="59" t="s">
        <v>184</v>
      </c>
      <c r="B588" s="60">
        <v>45333</v>
      </c>
      <c r="C588" s="54">
        <v>100.01594053061174</v>
      </c>
      <c r="D588" s="54">
        <v>100.01594053061174</v>
      </c>
    </row>
    <row r="589" spans="1:4" x14ac:dyDescent="0.35">
      <c r="A589" s="59" t="s">
        <v>184</v>
      </c>
      <c r="B589" s="60">
        <v>45340</v>
      </c>
      <c r="C589" s="54">
        <v>100.00204224833618</v>
      </c>
      <c r="D589" s="54">
        <v>100.00204224833618</v>
      </c>
    </row>
    <row r="590" spans="1:4" x14ac:dyDescent="0.35">
      <c r="A590" s="59" t="s">
        <v>184</v>
      </c>
      <c r="B590" s="60">
        <v>45347</v>
      </c>
      <c r="C590" s="54">
        <v>100.00004339386403</v>
      </c>
      <c r="D590" s="54">
        <v>100.00004339386403</v>
      </c>
    </row>
    <row r="591" spans="1:4" x14ac:dyDescent="0.35">
      <c r="A591" s="59" t="s">
        <v>184</v>
      </c>
      <c r="B591" s="60">
        <v>45354</v>
      </c>
      <c r="C591" s="54">
        <v>100.05503383403891</v>
      </c>
      <c r="D591" s="54">
        <v>100.05503383403891</v>
      </c>
    </row>
    <row r="592" spans="1:4" x14ac:dyDescent="0.35">
      <c r="A592" s="59" t="s">
        <v>184</v>
      </c>
      <c r="B592" s="60">
        <v>45361</v>
      </c>
      <c r="C592" s="54">
        <v>100.01153686870794</v>
      </c>
      <c r="D592" s="54">
        <v>100.01153686870794</v>
      </c>
    </row>
    <row r="593" spans="1:4" x14ac:dyDescent="0.35">
      <c r="A593" s="59" t="s">
        <v>184</v>
      </c>
      <c r="B593" s="60">
        <v>45368</v>
      </c>
      <c r="C593" s="54">
        <v>100.00498341946312</v>
      </c>
      <c r="D593" s="54">
        <v>100.00498341946312</v>
      </c>
    </row>
    <row r="594" spans="1:4" x14ac:dyDescent="0.35">
      <c r="A594" s="59" t="s">
        <v>184</v>
      </c>
      <c r="B594" s="60">
        <v>45375</v>
      </c>
      <c r="C594" s="54">
        <v>100.1385398540915</v>
      </c>
      <c r="D594" s="54">
        <v>100.1385398540915</v>
      </c>
    </row>
    <row r="595" spans="1:4" x14ac:dyDescent="0.35">
      <c r="A595" s="59" t="s">
        <v>184</v>
      </c>
      <c r="B595" s="60">
        <v>45382</v>
      </c>
      <c r="C595" s="54">
        <v>105.21332598177921</v>
      </c>
      <c r="D595" s="54">
        <v>105.21332598177921</v>
      </c>
    </row>
    <row r="596" spans="1:4" x14ac:dyDescent="0.35">
      <c r="A596" s="59" t="s">
        <v>184</v>
      </c>
      <c r="B596" s="60">
        <v>45389</v>
      </c>
      <c r="C596" s="54">
        <v>103.06731277844719</v>
      </c>
      <c r="D596" s="54">
        <v>103.06731277844719</v>
      </c>
    </row>
    <row r="597" spans="1:4" x14ac:dyDescent="0.35">
      <c r="A597" s="59" t="s">
        <v>184</v>
      </c>
      <c r="B597" s="60">
        <v>45396</v>
      </c>
      <c r="C597" s="54">
        <v>100.06010380312892</v>
      </c>
      <c r="D597" s="54">
        <v>100.06010380312892</v>
      </c>
    </row>
    <row r="598" spans="1:4" x14ac:dyDescent="0.35">
      <c r="A598" s="59" t="s">
        <v>184</v>
      </c>
      <c r="B598" s="60">
        <v>45403</v>
      </c>
      <c r="C598" s="54">
        <v>135.71626549949389</v>
      </c>
      <c r="D598" s="54">
        <v>135.71626549949389</v>
      </c>
    </row>
    <row r="599" spans="1:4" x14ac:dyDescent="0.35">
      <c r="A599" s="59" t="s">
        <v>184</v>
      </c>
      <c r="B599" s="60">
        <v>45410</v>
      </c>
      <c r="C599" s="54">
        <v>117.35550995064538</v>
      </c>
      <c r="D599" s="54">
        <v>117.35550995064538</v>
      </c>
    </row>
    <row r="600" spans="1:4" x14ac:dyDescent="0.35">
      <c r="A600" s="59" t="s">
        <v>184</v>
      </c>
      <c r="B600" s="60">
        <v>45417</v>
      </c>
      <c r="C600" s="54">
        <v>134.32240022497177</v>
      </c>
      <c r="D600" s="54">
        <v>134.32240022497177</v>
      </c>
    </row>
    <row r="601" spans="1:4" x14ac:dyDescent="0.35">
      <c r="A601" s="59" t="s">
        <v>184</v>
      </c>
      <c r="B601" s="60">
        <v>45424</v>
      </c>
      <c r="C601" s="54">
        <v>127.5143392422065</v>
      </c>
      <c r="D601" s="54">
        <v>127.5143392422065</v>
      </c>
    </row>
    <row r="602" spans="1:4" x14ac:dyDescent="0.35">
      <c r="A602" s="59" t="s">
        <v>184</v>
      </c>
      <c r="B602" s="60">
        <v>45431</v>
      </c>
      <c r="C602" s="54">
        <v>125.59348385737232</v>
      </c>
      <c r="D602" s="54">
        <v>125.59348385737232</v>
      </c>
    </row>
    <row r="603" spans="1:4" x14ac:dyDescent="0.35">
      <c r="A603" s="59" t="s">
        <v>184</v>
      </c>
      <c r="B603" s="60">
        <v>45438</v>
      </c>
      <c r="C603" s="54">
        <v>124.47843301099826</v>
      </c>
      <c r="D603" s="54">
        <v>124.47843301099826</v>
      </c>
    </row>
    <row r="604" spans="1:4" x14ac:dyDescent="0.35">
      <c r="A604" s="59" t="s">
        <v>184</v>
      </c>
      <c r="B604" s="60">
        <v>45445</v>
      </c>
      <c r="C604" s="54">
        <v>123.29195234399064</v>
      </c>
      <c r="D604" s="54">
        <v>123.29195234399064</v>
      </c>
    </row>
    <row r="605" spans="1:4" x14ac:dyDescent="0.35">
      <c r="A605" s="59" t="s">
        <v>184</v>
      </c>
      <c r="B605" s="60">
        <v>45452</v>
      </c>
      <c r="C605" s="54">
        <v>120.81594567049818</v>
      </c>
      <c r="D605" s="54">
        <v>120.81594567049818</v>
      </c>
    </row>
    <row r="606" spans="1:4" x14ac:dyDescent="0.35">
      <c r="A606" s="59" t="s">
        <v>184</v>
      </c>
      <c r="B606" s="60">
        <v>45459</v>
      </c>
      <c r="C606" s="54">
        <v>122.90531585540137</v>
      </c>
      <c r="D606" s="54">
        <v>122.90531585540137</v>
      </c>
    </row>
    <row r="607" spans="1:4" x14ac:dyDescent="0.35">
      <c r="A607" s="59" t="s">
        <v>184</v>
      </c>
      <c r="B607" s="60">
        <v>45466</v>
      </c>
      <c r="C607" s="54">
        <v>114.9339034282124</v>
      </c>
      <c r="D607" s="54">
        <v>114.9339034282124</v>
      </c>
    </row>
    <row r="608" spans="1:4" x14ac:dyDescent="0.35">
      <c r="A608" s="59" t="s">
        <v>184</v>
      </c>
      <c r="B608" s="60">
        <v>45473</v>
      </c>
      <c r="C608" s="54">
        <v>103.53552374154809</v>
      </c>
      <c r="D608" s="54">
        <v>103.53552374154809</v>
      </c>
    </row>
    <row r="609" spans="1:4" x14ac:dyDescent="0.35">
      <c r="A609" s="59" t="s">
        <v>184</v>
      </c>
      <c r="B609" s="60">
        <v>45480</v>
      </c>
      <c r="C609" s="54">
        <v>100.84741518260516</v>
      </c>
      <c r="D609" s="54">
        <v>100.84741518260516</v>
      </c>
    </row>
    <row r="610" spans="1:4" x14ac:dyDescent="0.35">
      <c r="A610" s="59" t="s">
        <v>184</v>
      </c>
      <c r="B610" s="60">
        <v>45487</v>
      </c>
      <c r="C610" s="54">
        <v>100.32298685400696</v>
      </c>
      <c r="D610" s="54">
        <v>100.32298685400696</v>
      </c>
    </row>
    <row r="611" spans="1:4" x14ac:dyDescent="0.35">
      <c r="A611" s="59" t="s">
        <v>184</v>
      </c>
      <c r="B611" s="60">
        <v>45494</v>
      </c>
      <c r="C611" s="54">
        <v>100.22206429619688</v>
      </c>
      <c r="D611" s="54">
        <v>100.22206429619688</v>
      </c>
    </row>
    <row r="612" spans="1:4" x14ac:dyDescent="0.35">
      <c r="A612" s="59" t="s">
        <v>184</v>
      </c>
      <c r="B612" s="60">
        <v>45501</v>
      </c>
      <c r="C612" s="54">
        <v>101.07598657422145</v>
      </c>
      <c r="D612" s="54">
        <v>101.07598657422145</v>
      </c>
    </row>
    <row r="613" spans="1:4" x14ac:dyDescent="0.35">
      <c r="A613" s="59" t="s">
        <v>184</v>
      </c>
      <c r="B613" s="60">
        <v>45508</v>
      </c>
      <c r="C613" s="54">
        <v>101.80879066192689</v>
      </c>
      <c r="D613" s="54">
        <v>101.80879066192689</v>
      </c>
    </row>
    <row r="614" spans="1:4" x14ac:dyDescent="0.35">
      <c r="A614" s="59" t="s">
        <v>184</v>
      </c>
      <c r="B614" s="60">
        <v>45515</v>
      </c>
      <c r="C614" s="54">
        <v>103.62303383371957</v>
      </c>
      <c r="D614" s="54">
        <v>103.62303383371957</v>
      </c>
    </row>
    <row r="615" spans="1:4" x14ac:dyDescent="0.35">
      <c r="A615" s="59" t="s">
        <v>184</v>
      </c>
      <c r="B615" s="60">
        <v>45522</v>
      </c>
      <c r="C615" s="54">
        <v>102.00392963790121</v>
      </c>
      <c r="D615" s="54">
        <v>102.00392963790121</v>
      </c>
    </row>
    <row r="616" spans="1:4" x14ac:dyDescent="0.35">
      <c r="A616" s="59" t="s">
        <v>184</v>
      </c>
      <c r="B616" s="60">
        <v>45529</v>
      </c>
      <c r="C616" s="54">
        <v>101.20542274119238</v>
      </c>
      <c r="D616" s="54">
        <v>101.20542274119238</v>
      </c>
    </row>
    <row r="617" spans="1:4" x14ac:dyDescent="0.35">
      <c r="A617" s="59" t="s">
        <v>184</v>
      </c>
      <c r="B617" s="60">
        <v>45536</v>
      </c>
      <c r="C617" s="54">
        <v>107.3894653628073</v>
      </c>
      <c r="D617" s="54">
        <v>107.3894653628073</v>
      </c>
    </row>
    <row r="618" spans="1:4" x14ac:dyDescent="0.35">
      <c r="A618" s="59" t="s">
        <v>184</v>
      </c>
      <c r="B618" s="60">
        <v>45543</v>
      </c>
      <c r="C618" s="54">
        <v>114.77382199175977</v>
      </c>
      <c r="D618" s="54">
        <v>114.77382199175977</v>
      </c>
    </row>
    <row r="619" spans="1:4" x14ac:dyDescent="0.35">
      <c r="A619" s="59" t="s">
        <v>184</v>
      </c>
      <c r="B619" s="60">
        <v>45550</v>
      </c>
      <c r="C619" s="54">
        <v>111.98964077978022</v>
      </c>
      <c r="D619" s="54">
        <v>111.98964077978022</v>
      </c>
    </row>
    <row r="620" spans="1:4" x14ac:dyDescent="0.35">
      <c r="A620" s="59" t="s">
        <v>184</v>
      </c>
      <c r="B620" s="60">
        <v>45557</v>
      </c>
      <c r="C620" s="54">
        <v>117.81224182027853</v>
      </c>
      <c r="D620" s="54">
        <v>117.81224182027853</v>
      </c>
    </row>
    <row r="621" spans="1:4" x14ac:dyDescent="0.35">
      <c r="A621" s="59" t="s">
        <v>184</v>
      </c>
      <c r="B621" s="60">
        <v>45564</v>
      </c>
      <c r="C621" s="54">
        <v>109.96736129177128</v>
      </c>
      <c r="D621" s="54">
        <v>109.96736129177128</v>
      </c>
    </row>
    <row r="622" spans="1:4" x14ac:dyDescent="0.35">
      <c r="A622" s="59" t="s">
        <v>184</v>
      </c>
      <c r="B622" s="60">
        <v>45571</v>
      </c>
      <c r="C622" s="54">
        <v>110.39105191708948</v>
      </c>
      <c r="D622" s="54">
        <v>110.39105191708948</v>
      </c>
    </row>
    <row r="623" spans="1:4" x14ac:dyDescent="0.35">
      <c r="A623" s="59" t="s">
        <v>184</v>
      </c>
      <c r="B623" s="60">
        <v>45578</v>
      </c>
      <c r="C623" s="54">
        <v>103.10215108060716</v>
      </c>
      <c r="D623" s="54">
        <v>103.10215108060716</v>
      </c>
    </row>
    <row r="624" spans="1:4" x14ac:dyDescent="0.35">
      <c r="A624" s="59" t="s">
        <v>184</v>
      </c>
      <c r="B624" s="60">
        <v>45585</v>
      </c>
      <c r="C624" s="54">
        <v>111.81350971861177</v>
      </c>
      <c r="D624" s="54">
        <v>111.81350971861177</v>
      </c>
    </row>
    <row r="625" spans="1:4" x14ac:dyDescent="0.35">
      <c r="A625" s="59" t="s">
        <v>184</v>
      </c>
      <c r="B625" s="60">
        <v>45592</v>
      </c>
      <c r="C625" s="54">
        <v>111.2810074650649</v>
      </c>
      <c r="D625" s="54">
        <v>111.2810074650649</v>
      </c>
    </row>
    <row r="626" spans="1:4" x14ac:dyDescent="0.35">
      <c r="A626" s="59" t="s">
        <v>184</v>
      </c>
      <c r="B626" s="60">
        <v>45599</v>
      </c>
      <c r="C626" s="54">
        <v>112.4764444937688</v>
      </c>
      <c r="D626" s="54">
        <v>112.4764444937688</v>
      </c>
    </row>
    <row r="627" spans="1:4" x14ac:dyDescent="0.35">
      <c r="A627" s="59" t="s">
        <v>184</v>
      </c>
      <c r="B627" s="60">
        <v>45606</v>
      </c>
      <c r="C627" s="54">
        <v>104.09379022157997</v>
      </c>
      <c r="D627" s="54">
        <v>104.09379022157997</v>
      </c>
    </row>
    <row r="628" spans="1:4" x14ac:dyDescent="0.35">
      <c r="A628" s="59" t="s">
        <v>184</v>
      </c>
      <c r="B628" s="60">
        <v>45613</v>
      </c>
      <c r="C628" s="54">
        <v>118.3013889918617</v>
      </c>
      <c r="D628" s="54">
        <v>118.3013889918617</v>
      </c>
    </row>
    <row r="629" spans="1:4" x14ac:dyDescent="0.35">
      <c r="A629" s="59" t="s">
        <v>184</v>
      </c>
      <c r="B629" s="60">
        <v>45620</v>
      </c>
      <c r="C629" s="54">
        <v>103.10753625726018</v>
      </c>
      <c r="D629" s="54">
        <v>103.10753625726018</v>
      </c>
    </row>
    <row r="630" spans="1:4" x14ac:dyDescent="0.35">
      <c r="A630" s="59" t="s">
        <v>184</v>
      </c>
      <c r="B630" s="60">
        <v>45627</v>
      </c>
      <c r="C630" s="54">
        <v>102.09833317821447</v>
      </c>
      <c r="D630" s="54">
        <v>102.09833317821447</v>
      </c>
    </row>
    <row r="631" spans="1:4" x14ac:dyDescent="0.35">
      <c r="A631" s="59" t="s">
        <v>184</v>
      </c>
      <c r="B631" s="60">
        <v>45634</v>
      </c>
      <c r="C631" s="54">
        <v>102.01027277514251</v>
      </c>
      <c r="D631" s="54">
        <v>102.01027277514251</v>
      </c>
    </row>
    <row r="632" spans="1:4" x14ac:dyDescent="0.35">
      <c r="A632" s="59" t="s">
        <v>184</v>
      </c>
      <c r="B632" s="60">
        <v>45641</v>
      </c>
      <c r="C632" s="54">
        <v>100.86920647524559</v>
      </c>
      <c r="D632" s="54">
        <v>100.86920647524559</v>
      </c>
    </row>
    <row r="633" spans="1:4" x14ac:dyDescent="0.35">
      <c r="A633" s="59" t="s">
        <v>184</v>
      </c>
      <c r="B633" s="60">
        <v>45648</v>
      </c>
      <c r="C633" s="54">
        <v>100.80804966486646</v>
      </c>
      <c r="D633" s="54">
        <v>100.80804966486646</v>
      </c>
    </row>
    <row r="634" spans="1:4" x14ac:dyDescent="0.35">
      <c r="A634" s="59" t="s">
        <v>184</v>
      </c>
      <c r="B634" s="60">
        <v>45655</v>
      </c>
      <c r="C634" s="54">
        <v>100.64202178656436</v>
      </c>
      <c r="D634" s="54">
        <v>100.64202178656436</v>
      </c>
    </row>
    <row r="635" spans="1:4" x14ac:dyDescent="0.35">
      <c r="A635" s="59" t="s">
        <v>185</v>
      </c>
      <c r="B635" s="60">
        <v>44570</v>
      </c>
      <c r="C635" s="54">
        <v>100.0000005156902</v>
      </c>
      <c r="D635" s="54">
        <v>100.0000005156902</v>
      </c>
    </row>
    <row r="636" spans="1:4" x14ac:dyDescent="0.35">
      <c r="A636" s="59" t="s">
        <v>185</v>
      </c>
      <c r="B636" s="60">
        <v>44577</v>
      </c>
      <c r="C636" s="54">
        <v>100.00859453686107</v>
      </c>
      <c r="D636" s="54">
        <v>100.00859453686107</v>
      </c>
    </row>
    <row r="637" spans="1:4" x14ac:dyDescent="0.35">
      <c r="A637" s="59" t="s">
        <v>185</v>
      </c>
      <c r="B637" s="60">
        <v>44584</v>
      </c>
      <c r="C637" s="54">
        <v>100.018209951228</v>
      </c>
      <c r="D637" s="54">
        <v>100.018209951228</v>
      </c>
    </row>
    <row r="638" spans="1:4" x14ac:dyDescent="0.35">
      <c r="A638" s="59" t="s">
        <v>185</v>
      </c>
      <c r="B638" s="60">
        <v>44591</v>
      </c>
      <c r="C638" s="54">
        <v>100.02902188342941</v>
      </c>
      <c r="D638" s="54">
        <v>100.02902188342941</v>
      </c>
    </row>
    <row r="639" spans="1:4" x14ac:dyDescent="0.35">
      <c r="A639" s="59" t="s">
        <v>185</v>
      </c>
      <c r="B639" s="60">
        <v>44598</v>
      </c>
      <c r="C639" s="54">
        <v>100.03970853755192</v>
      </c>
      <c r="D639" s="54">
        <v>100.03970853755192</v>
      </c>
    </row>
    <row r="640" spans="1:4" x14ac:dyDescent="0.35">
      <c r="A640" s="59" t="s">
        <v>185</v>
      </c>
      <c r="B640" s="60">
        <v>44605</v>
      </c>
      <c r="C640" s="54">
        <v>100.05112513412092</v>
      </c>
      <c r="D640" s="54">
        <v>100.05112513412092</v>
      </c>
    </row>
    <row r="641" spans="1:4" x14ac:dyDescent="0.35">
      <c r="A641" s="59" t="s">
        <v>185</v>
      </c>
      <c r="B641" s="60">
        <v>44612</v>
      </c>
      <c r="C641" s="54">
        <v>100.22126714095053</v>
      </c>
      <c r="D641" s="54">
        <v>100.22126714095053</v>
      </c>
    </row>
    <row r="642" spans="1:4" x14ac:dyDescent="0.35">
      <c r="A642" s="59" t="s">
        <v>185</v>
      </c>
      <c r="B642" s="60">
        <v>44619</v>
      </c>
      <c r="C642" s="54">
        <v>100.08323114986166</v>
      </c>
      <c r="D642" s="54">
        <v>100.08323114986166</v>
      </c>
    </row>
    <row r="643" spans="1:4" x14ac:dyDescent="0.35">
      <c r="A643" s="59" t="s">
        <v>185</v>
      </c>
      <c r="B643" s="60">
        <v>44626</v>
      </c>
      <c r="C643" s="54">
        <v>100.08934375085154</v>
      </c>
      <c r="D643" s="54">
        <v>100.08934375085154</v>
      </c>
    </row>
    <row r="644" spans="1:4" x14ac:dyDescent="0.35">
      <c r="A644" s="59" t="s">
        <v>185</v>
      </c>
      <c r="B644" s="60">
        <v>44633</v>
      </c>
      <c r="C644" s="54">
        <v>100.36385969463512</v>
      </c>
      <c r="D644" s="54">
        <v>100.36385969463512</v>
      </c>
    </row>
    <row r="645" spans="1:4" x14ac:dyDescent="0.35">
      <c r="A645" s="59" t="s">
        <v>185</v>
      </c>
      <c r="B645" s="60">
        <v>44640</v>
      </c>
      <c r="C645" s="54">
        <v>100.47533556134339</v>
      </c>
      <c r="D645" s="54">
        <v>100.47533556134339</v>
      </c>
    </row>
    <row r="646" spans="1:4" x14ac:dyDescent="0.35">
      <c r="A646" s="59" t="s">
        <v>185</v>
      </c>
      <c r="B646" s="60">
        <v>44647</v>
      </c>
      <c r="C646" s="54">
        <v>100.58894635615296</v>
      </c>
      <c r="D646" s="54">
        <v>100.58894635615296</v>
      </c>
    </row>
    <row r="647" spans="1:4" x14ac:dyDescent="0.35">
      <c r="A647" s="59" t="s">
        <v>185</v>
      </c>
      <c r="B647" s="60">
        <v>44654</v>
      </c>
      <c r="C647" s="54">
        <v>100.17987592376932</v>
      </c>
      <c r="D647" s="54">
        <v>100.17987592376932</v>
      </c>
    </row>
    <row r="648" spans="1:4" x14ac:dyDescent="0.35">
      <c r="A648" s="59" t="s">
        <v>185</v>
      </c>
      <c r="B648" s="60">
        <v>44661</v>
      </c>
      <c r="C648" s="54">
        <v>105.37897897569027</v>
      </c>
      <c r="D648" s="54">
        <v>105.37897897569027</v>
      </c>
    </row>
    <row r="649" spans="1:4" x14ac:dyDescent="0.35">
      <c r="A649" s="59" t="s">
        <v>185</v>
      </c>
      <c r="B649" s="60">
        <v>44668</v>
      </c>
      <c r="C649" s="54">
        <v>107.73187304587944</v>
      </c>
      <c r="D649" s="54">
        <v>107.73187304587944</v>
      </c>
    </row>
    <row r="650" spans="1:4" x14ac:dyDescent="0.35">
      <c r="A650" s="59" t="s">
        <v>185</v>
      </c>
      <c r="B650" s="60">
        <v>44675</v>
      </c>
      <c r="C650" s="54">
        <v>109.21716678509527</v>
      </c>
      <c r="D650" s="54">
        <v>109.21716678509527</v>
      </c>
    </row>
    <row r="651" spans="1:4" x14ac:dyDescent="0.35">
      <c r="A651" s="59" t="s">
        <v>185</v>
      </c>
      <c r="B651" s="60">
        <v>44682</v>
      </c>
      <c r="C651" s="54">
        <v>100.89321410419649</v>
      </c>
      <c r="D651" s="54">
        <v>100.89321410419649</v>
      </c>
    </row>
    <row r="652" spans="1:4" x14ac:dyDescent="0.35">
      <c r="A652" s="59" t="s">
        <v>185</v>
      </c>
      <c r="B652" s="60">
        <v>44689</v>
      </c>
      <c r="C652" s="54">
        <v>101.39738172103385</v>
      </c>
      <c r="D652" s="54">
        <v>101.39738172103385</v>
      </c>
    </row>
    <row r="653" spans="1:4" x14ac:dyDescent="0.35">
      <c r="A653" s="59" t="s">
        <v>185</v>
      </c>
      <c r="B653" s="60">
        <v>44696</v>
      </c>
      <c r="C653" s="54">
        <v>109.32647211054032</v>
      </c>
      <c r="D653" s="54">
        <v>109.32647211054032</v>
      </c>
    </row>
    <row r="654" spans="1:4" x14ac:dyDescent="0.35">
      <c r="A654" s="59" t="s">
        <v>185</v>
      </c>
      <c r="B654" s="60">
        <v>44703</v>
      </c>
      <c r="C654" s="54">
        <v>121.01256348218033</v>
      </c>
      <c r="D654" s="54">
        <v>121.01256348218033</v>
      </c>
    </row>
    <row r="655" spans="1:4" x14ac:dyDescent="0.35">
      <c r="A655" s="59" t="s">
        <v>185</v>
      </c>
      <c r="B655" s="60">
        <v>44710</v>
      </c>
      <c r="C655" s="54">
        <v>125.02952328729212</v>
      </c>
      <c r="D655" s="54">
        <v>125.02952328729212</v>
      </c>
    </row>
    <row r="656" spans="1:4" x14ac:dyDescent="0.35">
      <c r="A656" s="59" t="s">
        <v>185</v>
      </c>
      <c r="B656" s="60">
        <v>44717</v>
      </c>
      <c r="C656" s="54">
        <v>124.9519809597162</v>
      </c>
      <c r="D656" s="54">
        <v>124.9519809597162</v>
      </c>
    </row>
    <row r="657" spans="1:4" x14ac:dyDescent="0.35">
      <c r="A657" s="59" t="s">
        <v>185</v>
      </c>
      <c r="B657" s="60">
        <v>44724</v>
      </c>
      <c r="C657" s="54">
        <v>111.35338743723776</v>
      </c>
      <c r="D657" s="54">
        <v>111.35338743723776</v>
      </c>
    </row>
    <row r="658" spans="1:4" x14ac:dyDescent="0.35">
      <c r="A658" s="59" t="s">
        <v>185</v>
      </c>
      <c r="B658" s="60">
        <v>44731</v>
      </c>
      <c r="C658" s="54">
        <v>134.02072657283725</v>
      </c>
      <c r="D658" s="54">
        <v>134.02072657283725</v>
      </c>
    </row>
    <row r="659" spans="1:4" x14ac:dyDescent="0.35">
      <c r="A659" s="59" t="s">
        <v>185</v>
      </c>
      <c r="B659" s="60">
        <v>44738</v>
      </c>
      <c r="C659" s="54">
        <v>103.36692979103442</v>
      </c>
      <c r="D659" s="54">
        <v>103.36692979103442</v>
      </c>
    </row>
    <row r="660" spans="1:4" x14ac:dyDescent="0.35">
      <c r="A660" s="59" t="s">
        <v>185</v>
      </c>
      <c r="B660" s="60">
        <v>44745</v>
      </c>
      <c r="C660" s="54">
        <v>103.40183474969848</v>
      </c>
      <c r="D660" s="54">
        <v>103.40183474969848</v>
      </c>
    </row>
    <row r="661" spans="1:4" x14ac:dyDescent="0.35">
      <c r="A661" s="59" t="s">
        <v>185</v>
      </c>
      <c r="B661" s="60">
        <v>44752</v>
      </c>
      <c r="C661" s="54">
        <v>113.81142297623686</v>
      </c>
      <c r="D661" s="54">
        <v>113.81142297623686</v>
      </c>
    </row>
    <row r="662" spans="1:4" x14ac:dyDescent="0.35">
      <c r="A662" s="59" t="s">
        <v>185</v>
      </c>
      <c r="B662" s="60">
        <v>44759</v>
      </c>
      <c r="C662" s="54">
        <v>100.63438098619871</v>
      </c>
      <c r="D662" s="54">
        <v>100.63438098619871</v>
      </c>
    </row>
    <row r="663" spans="1:4" x14ac:dyDescent="0.35">
      <c r="A663" s="59" t="s">
        <v>185</v>
      </c>
      <c r="B663" s="60">
        <v>44766</v>
      </c>
      <c r="C663" s="54">
        <v>101.1571988040983</v>
      </c>
      <c r="D663" s="54">
        <v>101.1571988040983</v>
      </c>
    </row>
    <row r="664" spans="1:4" x14ac:dyDescent="0.35">
      <c r="A664" s="59" t="s">
        <v>185</v>
      </c>
      <c r="B664" s="60">
        <v>44773</v>
      </c>
      <c r="C664" s="54">
        <v>100.63735098348555</v>
      </c>
      <c r="D664" s="54">
        <v>100.63735098348555</v>
      </c>
    </row>
    <row r="665" spans="1:4" x14ac:dyDescent="0.35">
      <c r="A665" s="59" t="s">
        <v>185</v>
      </c>
      <c r="B665" s="60">
        <v>44780</v>
      </c>
      <c r="C665" s="54">
        <v>101.45129693545601</v>
      </c>
      <c r="D665" s="54">
        <v>101.45129693545601</v>
      </c>
    </row>
    <row r="666" spans="1:4" x14ac:dyDescent="0.35">
      <c r="A666" s="59" t="s">
        <v>185</v>
      </c>
      <c r="B666" s="60">
        <v>44787</v>
      </c>
      <c r="C666" s="54">
        <v>107.09080332185749</v>
      </c>
      <c r="D666" s="54">
        <v>107.09080332185749</v>
      </c>
    </row>
    <row r="667" spans="1:4" x14ac:dyDescent="0.35">
      <c r="A667" s="59" t="s">
        <v>185</v>
      </c>
      <c r="B667" s="60">
        <v>44794</v>
      </c>
      <c r="C667" s="54">
        <v>107.74494441056576</v>
      </c>
      <c r="D667" s="54">
        <v>107.74494441056576</v>
      </c>
    </row>
    <row r="668" spans="1:4" x14ac:dyDescent="0.35">
      <c r="A668" s="59" t="s">
        <v>185</v>
      </c>
      <c r="B668" s="60">
        <v>44801</v>
      </c>
      <c r="C668" s="54">
        <v>100.76019692963158</v>
      </c>
      <c r="D668" s="54">
        <v>100.76019692963158</v>
      </c>
    </row>
    <row r="669" spans="1:4" x14ac:dyDescent="0.35">
      <c r="A669" s="59" t="s">
        <v>185</v>
      </c>
      <c r="B669" s="60">
        <v>44808</v>
      </c>
      <c r="C669" s="54">
        <v>101.63032630844782</v>
      </c>
      <c r="D669" s="54">
        <v>101.63032630844782</v>
      </c>
    </row>
    <row r="670" spans="1:4" x14ac:dyDescent="0.35">
      <c r="A670" s="59" t="s">
        <v>185</v>
      </c>
      <c r="B670" s="60">
        <v>44815</v>
      </c>
      <c r="C670" s="54">
        <v>103.41823065685261</v>
      </c>
      <c r="D670" s="54">
        <v>103.41823065685261</v>
      </c>
    </row>
    <row r="671" spans="1:4" x14ac:dyDescent="0.35">
      <c r="A671" s="59" t="s">
        <v>185</v>
      </c>
      <c r="B671" s="60">
        <v>44822</v>
      </c>
      <c r="C671" s="54">
        <v>117.1545806757301</v>
      </c>
      <c r="D671" s="54">
        <v>117.1545806757301</v>
      </c>
    </row>
    <row r="672" spans="1:4" x14ac:dyDescent="0.35">
      <c r="A672" s="59" t="s">
        <v>185</v>
      </c>
      <c r="B672" s="60">
        <v>44829</v>
      </c>
      <c r="C672" s="54">
        <v>111.73486698375388</v>
      </c>
      <c r="D672" s="54">
        <v>111.73486698375388</v>
      </c>
    </row>
    <row r="673" spans="1:4" x14ac:dyDescent="0.35">
      <c r="A673" s="59" t="s">
        <v>185</v>
      </c>
      <c r="B673" s="60">
        <v>44836</v>
      </c>
      <c r="C673" s="54">
        <v>110.39095888220834</v>
      </c>
      <c r="D673" s="54">
        <v>110.39095888220834</v>
      </c>
    </row>
    <row r="674" spans="1:4" x14ac:dyDescent="0.35">
      <c r="A674" s="59" t="s">
        <v>185</v>
      </c>
      <c r="B674" s="60">
        <v>44843</v>
      </c>
      <c r="C674" s="54">
        <v>117.34743215652722</v>
      </c>
      <c r="D674" s="54">
        <v>117.34743215652722</v>
      </c>
    </row>
    <row r="675" spans="1:4" x14ac:dyDescent="0.35">
      <c r="A675" s="59" t="s">
        <v>185</v>
      </c>
      <c r="B675" s="60">
        <v>44850</v>
      </c>
      <c r="C675" s="54">
        <v>115.19341044914881</v>
      </c>
      <c r="D675" s="54">
        <v>115.19341044914881</v>
      </c>
    </row>
    <row r="676" spans="1:4" x14ac:dyDescent="0.35">
      <c r="A676" s="59" t="s">
        <v>185</v>
      </c>
      <c r="B676" s="60">
        <v>44857</v>
      </c>
      <c r="C676" s="54">
        <v>106.93223244355976</v>
      </c>
      <c r="D676" s="54">
        <v>106.93223244355976</v>
      </c>
    </row>
    <row r="677" spans="1:4" x14ac:dyDescent="0.35">
      <c r="A677" s="59" t="s">
        <v>185</v>
      </c>
      <c r="B677" s="60">
        <v>44864</v>
      </c>
      <c r="C677" s="54">
        <v>116.91708184180824</v>
      </c>
      <c r="D677" s="54">
        <v>116.91708184180824</v>
      </c>
    </row>
    <row r="678" spans="1:4" x14ac:dyDescent="0.35">
      <c r="A678" s="59" t="s">
        <v>185</v>
      </c>
      <c r="B678" s="60">
        <v>44871</v>
      </c>
      <c r="C678" s="54">
        <v>104.64246636070351</v>
      </c>
      <c r="D678" s="54">
        <v>104.64246636070351</v>
      </c>
    </row>
    <row r="679" spans="1:4" x14ac:dyDescent="0.35">
      <c r="A679" s="59" t="s">
        <v>185</v>
      </c>
      <c r="B679" s="60">
        <v>44878</v>
      </c>
      <c r="C679" s="54">
        <v>107.24757969626602</v>
      </c>
      <c r="D679" s="54">
        <v>107.24757969626602</v>
      </c>
    </row>
    <row r="680" spans="1:4" x14ac:dyDescent="0.35">
      <c r="A680" s="59" t="s">
        <v>185</v>
      </c>
      <c r="B680" s="60">
        <v>44885</v>
      </c>
      <c r="C680" s="54">
        <v>101.97505947297471</v>
      </c>
      <c r="D680" s="54">
        <v>101.97505947297471</v>
      </c>
    </row>
    <row r="681" spans="1:4" x14ac:dyDescent="0.35">
      <c r="A681" s="59" t="s">
        <v>185</v>
      </c>
      <c r="B681" s="60">
        <v>44892</v>
      </c>
      <c r="C681" s="54">
        <v>101.74520501437091</v>
      </c>
      <c r="D681" s="54">
        <v>101.74520501437091</v>
      </c>
    </row>
    <row r="682" spans="1:4" x14ac:dyDescent="0.35">
      <c r="A682" s="59" t="s">
        <v>185</v>
      </c>
      <c r="B682" s="60">
        <v>44899</v>
      </c>
      <c r="C682" s="54">
        <v>106.25129035262778</v>
      </c>
      <c r="D682" s="54">
        <v>106.25129035262778</v>
      </c>
    </row>
    <row r="683" spans="1:4" x14ac:dyDescent="0.35">
      <c r="A683" s="59" t="s">
        <v>185</v>
      </c>
      <c r="B683" s="60">
        <v>44906</v>
      </c>
      <c r="C683" s="54">
        <v>101.11639507293491</v>
      </c>
      <c r="D683" s="54">
        <v>101.11639507293491</v>
      </c>
    </row>
    <row r="684" spans="1:4" x14ac:dyDescent="0.35">
      <c r="A684" s="59" t="s">
        <v>185</v>
      </c>
      <c r="B684" s="60">
        <v>44913</v>
      </c>
      <c r="C684" s="54">
        <v>104.73167319785766</v>
      </c>
      <c r="D684" s="54">
        <v>104.73167319785766</v>
      </c>
    </row>
    <row r="685" spans="1:4" x14ac:dyDescent="0.35">
      <c r="A685" s="59" t="s">
        <v>185</v>
      </c>
      <c r="B685" s="60">
        <v>44920</v>
      </c>
      <c r="C685" s="54">
        <v>101.40929883334559</v>
      </c>
      <c r="D685" s="54">
        <v>101.40929883334559</v>
      </c>
    </row>
    <row r="686" spans="1:4" x14ac:dyDescent="0.35">
      <c r="A686" s="59" t="s">
        <v>185</v>
      </c>
      <c r="B686" s="60">
        <v>44927</v>
      </c>
      <c r="C686" s="54">
        <v>101.35146185972347</v>
      </c>
      <c r="D686" s="54">
        <v>101.35146185972347</v>
      </c>
    </row>
    <row r="687" spans="1:4" x14ac:dyDescent="0.35">
      <c r="A687" s="59" t="s">
        <v>185</v>
      </c>
      <c r="B687" s="60">
        <v>44934</v>
      </c>
      <c r="C687" s="54">
        <v>101.17576633293571</v>
      </c>
      <c r="D687" s="54">
        <v>101.17576633293571</v>
      </c>
    </row>
    <row r="688" spans="1:4" x14ac:dyDescent="0.35">
      <c r="A688" s="59" t="s">
        <v>185</v>
      </c>
      <c r="B688" s="60">
        <v>44941</v>
      </c>
      <c r="C688" s="54">
        <v>101.21450287730524</v>
      </c>
      <c r="D688" s="54">
        <v>101.21450287730524</v>
      </c>
    </row>
    <row r="689" spans="1:4" x14ac:dyDescent="0.35">
      <c r="A689" s="59" t="s">
        <v>185</v>
      </c>
      <c r="B689" s="60">
        <v>44948</v>
      </c>
      <c r="C689" s="54">
        <v>101.25404536020784</v>
      </c>
      <c r="D689" s="54">
        <v>101.25404536020784</v>
      </c>
    </row>
    <row r="690" spans="1:4" x14ac:dyDescent="0.35">
      <c r="A690" s="59" t="s">
        <v>185</v>
      </c>
      <c r="B690" s="60">
        <v>44955</v>
      </c>
      <c r="C690" s="54">
        <v>101.29441395596538</v>
      </c>
      <c r="D690" s="54">
        <v>101.29441395596538</v>
      </c>
    </row>
    <row r="691" spans="1:4" x14ac:dyDescent="0.35">
      <c r="A691" s="59" t="s">
        <v>185</v>
      </c>
      <c r="B691" s="60">
        <v>44962</v>
      </c>
      <c r="C691" s="54">
        <v>101.33562612814355</v>
      </c>
      <c r="D691" s="54">
        <v>101.33562612814355</v>
      </c>
    </row>
    <row r="692" spans="1:4" x14ac:dyDescent="0.35">
      <c r="A692" s="59" t="s">
        <v>185</v>
      </c>
      <c r="B692" s="60">
        <v>44969</v>
      </c>
      <c r="C692" s="54">
        <v>101.37769813328137</v>
      </c>
      <c r="D692" s="54">
        <v>101.37769813328137</v>
      </c>
    </row>
    <row r="693" spans="1:4" x14ac:dyDescent="0.35">
      <c r="A693" s="59" t="s">
        <v>185</v>
      </c>
      <c r="B693" s="60">
        <v>44976</v>
      </c>
      <c r="C693" s="54">
        <v>101.42065199418941</v>
      </c>
      <c r="D693" s="54">
        <v>101.42065199418941</v>
      </c>
    </row>
    <row r="694" spans="1:4" x14ac:dyDescent="0.35">
      <c r="A694" s="59" t="s">
        <v>185</v>
      </c>
      <c r="B694" s="60">
        <v>44983</v>
      </c>
      <c r="C694" s="54">
        <v>101.46456772257676</v>
      </c>
      <c r="D694" s="54">
        <v>101.46456772257676</v>
      </c>
    </row>
    <row r="695" spans="1:4" x14ac:dyDescent="0.35">
      <c r="A695" s="59" t="s">
        <v>185</v>
      </c>
      <c r="B695" s="60">
        <v>44990</v>
      </c>
      <c r="C695" s="54">
        <v>101.57213673361188</v>
      </c>
      <c r="D695" s="54">
        <v>101.57213673361188</v>
      </c>
    </row>
    <row r="696" spans="1:4" x14ac:dyDescent="0.35">
      <c r="A696" s="59" t="s">
        <v>185</v>
      </c>
      <c r="B696" s="60">
        <v>44997</v>
      </c>
      <c r="C696" s="54">
        <v>101.55879481279756</v>
      </c>
      <c r="D696" s="54">
        <v>101.55879481279756</v>
      </c>
    </row>
    <row r="697" spans="1:4" x14ac:dyDescent="0.35">
      <c r="A697" s="59" t="s">
        <v>185</v>
      </c>
      <c r="B697" s="60">
        <v>45004</v>
      </c>
      <c r="C697" s="54">
        <v>101.65946685810322</v>
      </c>
      <c r="D697" s="54">
        <v>101.65946685810322</v>
      </c>
    </row>
    <row r="698" spans="1:4" x14ac:dyDescent="0.35">
      <c r="A698" s="59" t="s">
        <v>185</v>
      </c>
      <c r="B698" s="60">
        <v>45011</v>
      </c>
      <c r="C698" s="54">
        <v>105.81885251126258</v>
      </c>
      <c r="D698" s="54">
        <v>105.81885251126258</v>
      </c>
    </row>
    <row r="699" spans="1:4" x14ac:dyDescent="0.35">
      <c r="A699" s="59" t="s">
        <v>185</v>
      </c>
      <c r="B699" s="60">
        <v>45018</v>
      </c>
      <c r="C699" s="54">
        <v>101.73687116145858</v>
      </c>
      <c r="D699" s="54">
        <v>101.73687116145858</v>
      </c>
    </row>
    <row r="700" spans="1:4" x14ac:dyDescent="0.35">
      <c r="A700" s="59" t="s">
        <v>185</v>
      </c>
      <c r="B700" s="60">
        <v>45025</v>
      </c>
      <c r="C700" s="54">
        <v>102.2486151164989</v>
      </c>
      <c r="D700" s="54">
        <v>102.2486151164989</v>
      </c>
    </row>
    <row r="701" spans="1:4" x14ac:dyDescent="0.35">
      <c r="A701" s="59" t="s">
        <v>185</v>
      </c>
      <c r="B701" s="60">
        <v>45032</v>
      </c>
      <c r="C701" s="54">
        <v>104.74130934811126</v>
      </c>
      <c r="D701" s="54">
        <v>104.74130934811126</v>
      </c>
    </row>
    <row r="702" spans="1:4" x14ac:dyDescent="0.35">
      <c r="A702" s="59" t="s">
        <v>185</v>
      </c>
      <c r="B702" s="60">
        <v>45039</v>
      </c>
      <c r="C702" s="54">
        <v>114.33705471461651</v>
      </c>
      <c r="D702" s="54">
        <v>114.33705471461651</v>
      </c>
    </row>
    <row r="703" spans="1:4" x14ac:dyDescent="0.35">
      <c r="A703" s="59" t="s">
        <v>185</v>
      </c>
      <c r="B703" s="60">
        <v>45046</v>
      </c>
      <c r="C703" s="54">
        <v>128.89334529657444</v>
      </c>
      <c r="D703" s="54">
        <v>128.89334529657444</v>
      </c>
    </row>
    <row r="704" spans="1:4" x14ac:dyDescent="0.35">
      <c r="A704" s="59" t="s">
        <v>185</v>
      </c>
      <c r="B704" s="60">
        <v>45053</v>
      </c>
      <c r="C704" s="54">
        <v>114.33000728919878</v>
      </c>
      <c r="D704" s="54">
        <v>114.33000728919878</v>
      </c>
    </row>
    <row r="705" spans="1:4" x14ac:dyDescent="0.35">
      <c r="A705" s="59" t="s">
        <v>185</v>
      </c>
      <c r="B705" s="60">
        <v>45060</v>
      </c>
      <c r="C705" s="54">
        <v>123.95097580515976</v>
      </c>
      <c r="D705" s="54">
        <v>123.95097580515976</v>
      </c>
    </row>
    <row r="706" spans="1:4" x14ac:dyDescent="0.35">
      <c r="A706" s="59" t="s">
        <v>185</v>
      </c>
      <c r="B706" s="60">
        <v>45067</v>
      </c>
      <c r="C706" s="54">
        <v>138.37933011886241</v>
      </c>
      <c r="D706" s="54">
        <v>138.37933011886241</v>
      </c>
    </row>
    <row r="707" spans="1:4" x14ac:dyDescent="0.35">
      <c r="A707" s="59" t="s">
        <v>185</v>
      </c>
      <c r="B707" s="60">
        <v>45074</v>
      </c>
      <c r="C707" s="54">
        <v>125.06438072558231</v>
      </c>
      <c r="D707" s="54">
        <v>125.06438072558231</v>
      </c>
    </row>
    <row r="708" spans="1:4" x14ac:dyDescent="0.35">
      <c r="A708" s="59" t="s">
        <v>185</v>
      </c>
      <c r="B708" s="60">
        <v>45081</v>
      </c>
      <c r="C708" s="54">
        <v>113.62318284495568</v>
      </c>
      <c r="D708" s="54">
        <v>113.62318284495568</v>
      </c>
    </row>
    <row r="709" spans="1:4" x14ac:dyDescent="0.35">
      <c r="A709" s="59" t="s">
        <v>185</v>
      </c>
      <c r="B709" s="60">
        <v>45088</v>
      </c>
      <c r="C709" s="54">
        <v>106.90450353992239</v>
      </c>
      <c r="D709" s="54">
        <v>106.90450353992239</v>
      </c>
    </row>
    <row r="710" spans="1:4" x14ac:dyDescent="0.35">
      <c r="A710" s="59" t="s">
        <v>185</v>
      </c>
      <c r="B710" s="60">
        <v>45095</v>
      </c>
      <c r="C710" s="54">
        <v>132.70280184667905</v>
      </c>
      <c r="D710" s="54">
        <v>132.70280184667905</v>
      </c>
    </row>
    <row r="711" spans="1:4" x14ac:dyDescent="0.35">
      <c r="A711" s="59" t="s">
        <v>185</v>
      </c>
      <c r="B711" s="60">
        <v>45102</v>
      </c>
      <c r="C711" s="54">
        <v>112.6301465479868</v>
      </c>
      <c r="D711" s="54">
        <v>112.6301465479868</v>
      </c>
    </row>
    <row r="712" spans="1:4" x14ac:dyDescent="0.35">
      <c r="A712" s="59" t="s">
        <v>185</v>
      </c>
      <c r="B712" s="60">
        <v>45109</v>
      </c>
      <c r="C712" s="54">
        <v>108.19840626662169</v>
      </c>
      <c r="D712" s="54">
        <v>108.19840626662169</v>
      </c>
    </row>
    <row r="713" spans="1:4" x14ac:dyDescent="0.35">
      <c r="A713" s="59" t="s">
        <v>185</v>
      </c>
      <c r="B713" s="60">
        <v>45116</v>
      </c>
      <c r="C713" s="54">
        <v>103.57266883684156</v>
      </c>
      <c r="D713" s="54">
        <v>103.57266883684156</v>
      </c>
    </row>
    <row r="714" spans="1:4" x14ac:dyDescent="0.35">
      <c r="A714" s="59" t="s">
        <v>185</v>
      </c>
      <c r="B714" s="60">
        <v>45123</v>
      </c>
      <c r="C714" s="54">
        <v>102.7255427652817</v>
      </c>
      <c r="D714" s="54">
        <v>102.7255427652817</v>
      </c>
    </row>
    <row r="715" spans="1:4" x14ac:dyDescent="0.35">
      <c r="A715" s="59" t="s">
        <v>185</v>
      </c>
      <c r="B715" s="60">
        <v>45130</v>
      </c>
      <c r="C715" s="54">
        <v>109.66572280609077</v>
      </c>
      <c r="D715" s="54">
        <v>109.66572280609077</v>
      </c>
    </row>
    <row r="716" spans="1:4" x14ac:dyDescent="0.35">
      <c r="A716" s="59" t="s">
        <v>185</v>
      </c>
      <c r="B716" s="60">
        <v>45137</v>
      </c>
      <c r="C716" s="54">
        <v>103.55611399032104</v>
      </c>
      <c r="D716" s="54">
        <v>103.55611399032104</v>
      </c>
    </row>
    <row r="717" spans="1:4" x14ac:dyDescent="0.35">
      <c r="A717" s="59" t="s">
        <v>185</v>
      </c>
      <c r="B717" s="60">
        <v>45144</v>
      </c>
      <c r="C717" s="54">
        <v>104.72787372001767</v>
      </c>
      <c r="D717" s="54">
        <v>104.72787372001767</v>
      </c>
    </row>
    <row r="718" spans="1:4" x14ac:dyDescent="0.35">
      <c r="A718" s="59" t="s">
        <v>185</v>
      </c>
      <c r="B718" s="60">
        <v>45151</v>
      </c>
      <c r="C718" s="54">
        <v>106.19981740816819</v>
      </c>
      <c r="D718" s="54">
        <v>106.19981740816819</v>
      </c>
    </row>
    <row r="719" spans="1:4" x14ac:dyDescent="0.35">
      <c r="A719" s="59" t="s">
        <v>185</v>
      </c>
      <c r="B719" s="60">
        <v>45158</v>
      </c>
      <c r="C719" s="54">
        <v>103.44477821376427</v>
      </c>
      <c r="D719" s="54">
        <v>103.44477821376427</v>
      </c>
    </row>
    <row r="720" spans="1:4" x14ac:dyDescent="0.35">
      <c r="A720" s="59" t="s">
        <v>185</v>
      </c>
      <c r="B720" s="60">
        <v>45165</v>
      </c>
      <c r="C720" s="54">
        <v>104.85184689395975</v>
      </c>
      <c r="D720" s="54">
        <v>104.85184689395975</v>
      </c>
    </row>
    <row r="721" spans="1:4" x14ac:dyDescent="0.35">
      <c r="A721" s="59" t="s">
        <v>185</v>
      </c>
      <c r="B721" s="60">
        <v>45172</v>
      </c>
      <c r="C721" s="54">
        <v>103.36486586334604</v>
      </c>
      <c r="D721" s="54">
        <v>103.36486586334604</v>
      </c>
    </row>
    <row r="722" spans="1:4" x14ac:dyDescent="0.35">
      <c r="A722" s="59" t="s">
        <v>185</v>
      </c>
      <c r="B722" s="60">
        <v>45179</v>
      </c>
      <c r="C722" s="54">
        <v>108.00657803868661</v>
      </c>
      <c r="D722" s="54">
        <v>108.00657803868661</v>
      </c>
    </row>
    <row r="723" spans="1:4" x14ac:dyDescent="0.35">
      <c r="A723" s="59" t="s">
        <v>185</v>
      </c>
      <c r="B723" s="60">
        <v>45186</v>
      </c>
      <c r="C723" s="54">
        <v>110.58706844350129</v>
      </c>
      <c r="D723" s="54">
        <v>110.58706844350129</v>
      </c>
    </row>
    <row r="724" spans="1:4" x14ac:dyDescent="0.35">
      <c r="A724" s="59" t="s">
        <v>185</v>
      </c>
      <c r="B724" s="60">
        <v>45193</v>
      </c>
      <c r="C724" s="54">
        <v>113.20697101537742</v>
      </c>
      <c r="D724" s="54">
        <v>113.20697101537742</v>
      </c>
    </row>
    <row r="725" spans="1:4" x14ac:dyDescent="0.35">
      <c r="A725" s="59" t="s">
        <v>185</v>
      </c>
      <c r="B725" s="60">
        <v>45200</v>
      </c>
      <c r="C725" s="54">
        <v>108.87490884222179</v>
      </c>
      <c r="D725" s="54">
        <v>108.87490884222179</v>
      </c>
    </row>
    <row r="726" spans="1:4" x14ac:dyDescent="0.35">
      <c r="A726" s="59" t="s">
        <v>185</v>
      </c>
      <c r="B726" s="60">
        <v>45207</v>
      </c>
      <c r="C726" s="54">
        <v>108.5368887483418</v>
      </c>
      <c r="D726" s="54">
        <v>108.5368887483418</v>
      </c>
    </row>
    <row r="727" spans="1:4" x14ac:dyDescent="0.35">
      <c r="A727" s="59" t="s">
        <v>185</v>
      </c>
      <c r="B727" s="60">
        <v>45214</v>
      </c>
      <c r="C727" s="54">
        <v>112.39387465894654</v>
      </c>
      <c r="D727" s="54">
        <v>112.39387465894654</v>
      </c>
    </row>
    <row r="728" spans="1:4" x14ac:dyDescent="0.35">
      <c r="A728" s="59" t="s">
        <v>185</v>
      </c>
      <c r="B728" s="60">
        <v>45221</v>
      </c>
      <c r="C728" s="54">
        <v>116.75004885343505</v>
      </c>
      <c r="D728" s="54">
        <v>116.75004885343505</v>
      </c>
    </row>
    <row r="729" spans="1:4" x14ac:dyDescent="0.35">
      <c r="A729" s="59" t="s">
        <v>185</v>
      </c>
      <c r="B729" s="60">
        <v>45228</v>
      </c>
      <c r="C729" s="54">
        <v>122.21155232032254</v>
      </c>
      <c r="D729" s="54">
        <v>122.21155232032254</v>
      </c>
    </row>
    <row r="730" spans="1:4" x14ac:dyDescent="0.35">
      <c r="A730" s="59" t="s">
        <v>185</v>
      </c>
      <c r="B730" s="60">
        <v>45235</v>
      </c>
      <c r="C730" s="54">
        <v>105.80285499111632</v>
      </c>
      <c r="D730" s="54">
        <v>105.80285499111632</v>
      </c>
    </row>
    <row r="731" spans="1:4" x14ac:dyDescent="0.35">
      <c r="A731" s="59" t="s">
        <v>185</v>
      </c>
      <c r="B731" s="60">
        <v>45242</v>
      </c>
      <c r="C731" s="54">
        <v>106.86509504096016</v>
      </c>
      <c r="D731" s="54">
        <v>106.86509504096016</v>
      </c>
    </row>
    <row r="732" spans="1:4" x14ac:dyDescent="0.35">
      <c r="A732" s="59" t="s">
        <v>185</v>
      </c>
      <c r="B732" s="60">
        <v>45249</v>
      </c>
      <c r="C732" s="54">
        <v>108.7118519910144</v>
      </c>
      <c r="D732" s="54">
        <v>108.7118519910144</v>
      </c>
    </row>
    <row r="733" spans="1:4" x14ac:dyDescent="0.35">
      <c r="A733" s="59" t="s">
        <v>185</v>
      </c>
      <c r="B733" s="60">
        <v>45256</v>
      </c>
      <c r="C733" s="54">
        <v>104.85745189341812</v>
      </c>
      <c r="D733" s="54">
        <v>104.85745189341812</v>
      </c>
    </row>
    <row r="734" spans="1:4" x14ac:dyDescent="0.35">
      <c r="A734" s="59" t="s">
        <v>185</v>
      </c>
      <c r="B734" s="60">
        <v>45263</v>
      </c>
      <c r="C734" s="54">
        <v>104.58553042090904</v>
      </c>
      <c r="D734" s="54">
        <v>104.58553042090904</v>
      </c>
    </row>
    <row r="735" spans="1:4" x14ac:dyDescent="0.35">
      <c r="A735" s="59" t="s">
        <v>185</v>
      </c>
      <c r="B735" s="60">
        <v>45270</v>
      </c>
      <c r="C735" s="54">
        <v>104.43451301585783</v>
      </c>
      <c r="D735" s="54">
        <v>104.43451301585783</v>
      </c>
    </row>
    <row r="736" spans="1:4" x14ac:dyDescent="0.35">
      <c r="A736" s="59" t="s">
        <v>185</v>
      </c>
      <c r="B736" s="60">
        <v>45277</v>
      </c>
      <c r="C736" s="54">
        <v>104.80351894702663</v>
      </c>
      <c r="D736" s="54">
        <v>104.80351894702663</v>
      </c>
    </row>
    <row r="737" spans="1:4" x14ac:dyDescent="0.35">
      <c r="A737" s="59" t="s">
        <v>185</v>
      </c>
      <c r="B737" s="60">
        <v>45284</v>
      </c>
      <c r="C737" s="54">
        <v>104.83721495765494</v>
      </c>
      <c r="D737" s="54">
        <v>104.83721495765494</v>
      </c>
    </row>
    <row r="738" spans="1:4" x14ac:dyDescent="0.35">
      <c r="A738" s="59" t="s">
        <v>185</v>
      </c>
      <c r="B738" s="60">
        <v>45291</v>
      </c>
      <c r="C738" s="54">
        <v>104.77559129858157</v>
      </c>
      <c r="D738" s="54">
        <v>104.77559129858157</v>
      </c>
    </row>
    <row r="739" spans="1:4" x14ac:dyDescent="0.35">
      <c r="A739" s="59" t="s">
        <v>185</v>
      </c>
      <c r="B739" s="60">
        <v>45298</v>
      </c>
      <c r="C739" s="54">
        <v>104.79971747821681</v>
      </c>
      <c r="D739" s="54">
        <v>104.79971747821681</v>
      </c>
    </row>
    <row r="740" spans="1:4" x14ac:dyDescent="0.35">
      <c r="A740" s="59" t="s">
        <v>185</v>
      </c>
      <c r="B740" s="60">
        <v>45305</v>
      </c>
      <c r="C740" s="54">
        <v>104.91730214308089</v>
      </c>
      <c r="D740" s="54">
        <v>104.91730214308089</v>
      </c>
    </row>
    <row r="741" spans="1:4" x14ac:dyDescent="0.35">
      <c r="A741" s="59" t="s">
        <v>185</v>
      </c>
      <c r="B741" s="60">
        <v>45312</v>
      </c>
      <c r="C741" s="54">
        <v>105.03754863956813</v>
      </c>
      <c r="D741" s="54">
        <v>105.03754863956813</v>
      </c>
    </row>
    <row r="742" spans="1:4" x14ac:dyDescent="0.35">
      <c r="A742" s="59" t="s">
        <v>185</v>
      </c>
      <c r="B742" s="60">
        <v>45319</v>
      </c>
      <c r="C742" s="54">
        <v>105.16269931709992</v>
      </c>
      <c r="D742" s="54">
        <v>105.16269931709992</v>
      </c>
    </row>
    <row r="743" spans="1:4" x14ac:dyDescent="0.35">
      <c r="A743" s="59" t="s">
        <v>185</v>
      </c>
      <c r="B743" s="60">
        <v>45326</v>
      </c>
      <c r="C743" s="54">
        <v>105.28629348883949</v>
      </c>
      <c r="D743" s="54">
        <v>105.28629348883949</v>
      </c>
    </row>
    <row r="744" spans="1:4" x14ac:dyDescent="0.35">
      <c r="A744" s="59" t="s">
        <v>185</v>
      </c>
      <c r="B744" s="60">
        <v>45333</v>
      </c>
      <c r="C744" s="54">
        <v>105.43085811814075</v>
      </c>
      <c r="D744" s="54">
        <v>105.43085811814075</v>
      </c>
    </row>
    <row r="745" spans="1:4" x14ac:dyDescent="0.35">
      <c r="A745" s="59" t="s">
        <v>185</v>
      </c>
      <c r="B745" s="60">
        <v>45340</v>
      </c>
      <c r="C745" s="54">
        <v>105.54852154657979</v>
      </c>
      <c r="D745" s="54">
        <v>105.54852154657979</v>
      </c>
    </row>
    <row r="746" spans="1:4" x14ac:dyDescent="0.35">
      <c r="A746" s="59" t="s">
        <v>185</v>
      </c>
      <c r="B746" s="60">
        <v>45347</v>
      </c>
      <c r="C746" s="54">
        <v>105.68108905912739</v>
      </c>
      <c r="D746" s="54">
        <v>105.68108905912739</v>
      </c>
    </row>
    <row r="747" spans="1:4" x14ac:dyDescent="0.35">
      <c r="A747" s="59" t="s">
        <v>185</v>
      </c>
      <c r="B747" s="60">
        <v>45354</v>
      </c>
      <c r="C747" s="54">
        <v>105.87372445272496</v>
      </c>
      <c r="D747" s="54">
        <v>105.87372445272496</v>
      </c>
    </row>
    <row r="748" spans="1:4" x14ac:dyDescent="0.35">
      <c r="A748" s="59" t="s">
        <v>185</v>
      </c>
      <c r="B748" s="60">
        <v>45361</v>
      </c>
      <c r="C748" s="54">
        <v>105.97102684137366</v>
      </c>
      <c r="D748" s="54">
        <v>105.97102684137366</v>
      </c>
    </row>
    <row r="749" spans="1:4" x14ac:dyDescent="0.35">
      <c r="A749" s="59" t="s">
        <v>185</v>
      </c>
      <c r="B749" s="60">
        <v>45368</v>
      </c>
      <c r="C749" s="54">
        <v>106.10850489236498</v>
      </c>
      <c r="D749" s="54">
        <v>106.10850489236498</v>
      </c>
    </row>
    <row r="750" spans="1:4" x14ac:dyDescent="0.35">
      <c r="A750" s="59" t="s">
        <v>185</v>
      </c>
      <c r="B750" s="60">
        <v>45375</v>
      </c>
      <c r="C750" s="54">
        <v>106.38940469942781</v>
      </c>
      <c r="D750" s="54">
        <v>106.38940469942781</v>
      </c>
    </row>
    <row r="751" spans="1:4" x14ac:dyDescent="0.35">
      <c r="A751" s="59" t="s">
        <v>185</v>
      </c>
      <c r="B751" s="60">
        <v>45382</v>
      </c>
      <c r="C751" s="54">
        <v>111.61492782786733</v>
      </c>
      <c r="D751" s="54">
        <v>111.61492782786733</v>
      </c>
    </row>
    <row r="752" spans="1:4" x14ac:dyDescent="0.35">
      <c r="A752" s="59" t="s">
        <v>185</v>
      </c>
      <c r="B752" s="60">
        <v>45389</v>
      </c>
      <c r="C752" s="54">
        <v>109.62312909110474</v>
      </c>
      <c r="D752" s="54">
        <v>109.62312909110474</v>
      </c>
    </row>
    <row r="753" spans="1:4" x14ac:dyDescent="0.35">
      <c r="A753" s="59" t="s">
        <v>185</v>
      </c>
      <c r="B753" s="60">
        <v>45396</v>
      </c>
      <c r="C753" s="54">
        <v>106.77369801956004</v>
      </c>
      <c r="D753" s="54">
        <v>106.77369801956004</v>
      </c>
    </row>
    <row r="754" spans="1:4" x14ac:dyDescent="0.35">
      <c r="A754" s="59" t="s">
        <v>185</v>
      </c>
      <c r="B754" s="60">
        <v>45403</v>
      </c>
      <c r="C754" s="54">
        <v>142.59128921601433</v>
      </c>
      <c r="D754" s="54">
        <v>142.59128921601433</v>
      </c>
    </row>
    <row r="755" spans="1:4" x14ac:dyDescent="0.35">
      <c r="A755" s="59" t="s">
        <v>185</v>
      </c>
      <c r="B755" s="60">
        <v>45410</v>
      </c>
      <c r="C755" s="54">
        <v>124.39570516561409</v>
      </c>
      <c r="D755" s="54">
        <v>124.39570516561409</v>
      </c>
    </row>
    <row r="756" spans="1:4" x14ac:dyDescent="0.35">
      <c r="A756" s="59" t="s">
        <v>185</v>
      </c>
      <c r="B756" s="60">
        <v>45417</v>
      </c>
      <c r="C756" s="54">
        <v>141.53160163833059</v>
      </c>
      <c r="D756" s="54">
        <v>141.53160163833059</v>
      </c>
    </row>
    <row r="757" spans="1:4" x14ac:dyDescent="0.35">
      <c r="A757" s="59" t="s">
        <v>185</v>
      </c>
      <c r="B757" s="60">
        <v>45424</v>
      </c>
      <c r="C757" s="54">
        <v>134.89647661306554</v>
      </c>
      <c r="D757" s="54">
        <v>134.89647661306554</v>
      </c>
    </row>
    <row r="758" spans="1:4" x14ac:dyDescent="0.35">
      <c r="A758" s="59" t="s">
        <v>185</v>
      </c>
      <c r="B758" s="60">
        <v>45431</v>
      </c>
      <c r="C758" s="54">
        <v>133.15258442111431</v>
      </c>
      <c r="D758" s="54">
        <v>133.15258442111431</v>
      </c>
    </row>
    <row r="759" spans="1:4" x14ac:dyDescent="0.35">
      <c r="A759" s="59" t="s">
        <v>185</v>
      </c>
      <c r="B759" s="60">
        <v>45438</v>
      </c>
      <c r="C759" s="54">
        <v>132.2186239574126</v>
      </c>
      <c r="D759" s="54">
        <v>132.2186239574126</v>
      </c>
    </row>
    <row r="760" spans="1:4" x14ac:dyDescent="0.35">
      <c r="A760" s="59" t="s">
        <v>185</v>
      </c>
      <c r="B760" s="60">
        <v>45445</v>
      </c>
      <c r="C760" s="54">
        <v>131.21746335798605</v>
      </c>
      <c r="D760" s="54">
        <v>131.21746335798605</v>
      </c>
    </row>
    <row r="761" spans="1:4" x14ac:dyDescent="0.35">
      <c r="A761" s="59" t="s">
        <v>185</v>
      </c>
      <c r="B761" s="60">
        <v>45452</v>
      </c>
      <c r="C761" s="54">
        <v>128.93111153698155</v>
      </c>
      <c r="D761" s="54">
        <v>128.93111153698155</v>
      </c>
    </row>
    <row r="762" spans="1:4" x14ac:dyDescent="0.35">
      <c r="A762" s="59" t="s">
        <v>185</v>
      </c>
      <c r="B762" s="60">
        <v>45459</v>
      </c>
      <c r="C762" s="54">
        <v>131.21457912995118</v>
      </c>
      <c r="D762" s="54">
        <v>131.21457912995118</v>
      </c>
    </row>
    <row r="763" spans="1:4" x14ac:dyDescent="0.35">
      <c r="A763" s="59" t="s">
        <v>185</v>
      </c>
      <c r="B763" s="60">
        <v>45466</v>
      </c>
      <c r="C763" s="54">
        <v>123.44181717521526</v>
      </c>
      <c r="D763" s="54">
        <v>123.44181717521526</v>
      </c>
    </row>
    <row r="764" spans="1:4" x14ac:dyDescent="0.35">
      <c r="A764" s="59" t="s">
        <v>185</v>
      </c>
      <c r="B764" s="60">
        <v>45473</v>
      </c>
      <c r="C764" s="54">
        <v>112.24675434151007</v>
      </c>
      <c r="D764" s="54">
        <v>112.24675434151007</v>
      </c>
    </row>
    <row r="765" spans="1:4" x14ac:dyDescent="0.35">
      <c r="A765" s="59" t="s">
        <v>185</v>
      </c>
      <c r="B765" s="60">
        <v>45480</v>
      </c>
      <c r="C765" s="54">
        <v>109.76674521039196</v>
      </c>
      <c r="D765" s="54">
        <v>109.76674521039196</v>
      </c>
    </row>
    <row r="766" spans="1:4" x14ac:dyDescent="0.35">
      <c r="A766" s="59" t="s">
        <v>185</v>
      </c>
      <c r="B766" s="60">
        <v>45487</v>
      </c>
      <c r="C766" s="54">
        <v>109.45531802981181</v>
      </c>
      <c r="D766" s="54">
        <v>109.45531802981181</v>
      </c>
    </row>
    <row r="767" spans="1:4" x14ac:dyDescent="0.35">
      <c r="A767" s="59" t="s">
        <v>185</v>
      </c>
      <c r="B767" s="60">
        <v>45494</v>
      </c>
      <c r="C767" s="54">
        <v>109.57242051108028</v>
      </c>
      <c r="D767" s="54">
        <v>109.57242051108028</v>
      </c>
    </row>
    <row r="768" spans="1:4" x14ac:dyDescent="0.35">
      <c r="A768" s="59" t="s">
        <v>185</v>
      </c>
      <c r="B768" s="60">
        <v>45501</v>
      </c>
      <c r="C768" s="54">
        <v>110.64951699211356</v>
      </c>
      <c r="D768" s="54">
        <v>110.64951699211356</v>
      </c>
    </row>
    <row r="769" spans="1:4" x14ac:dyDescent="0.35">
      <c r="A769" s="59" t="s">
        <v>185</v>
      </c>
      <c r="B769" s="60">
        <v>45508</v>
      </c>
      <c r="C769" s="54">
        <v>111.61077290003097</v>
      </c>
      <c r="D769" s="54">
        <v>111.61077290003097</v>
      </c>
    </row>
    <row r="770" spans="1:4" x14ac:dyDescent="0.35">
      <c r="A770" s="59" t="s">
        <v>185</v>
      </c>
      <c r="B770" s="60">
        <v>45515</v>
      </c>
      <c r="C770" s="54">
        <v>113.65887722330406</v>
      </c>
      <c r="D770" s="54">
        <v>113.65887722330406</v>
      </c>
    </row>
    <row r="771" spans="1:4" x14ac:dyDescent="0.35">
      <c r="A771" s="59" t="s">
        <v>185</v>
      </c>
      <c r="B771" s="60">
        <v>45522</v>
      </c>
      <c r="C771" s="54">
        <v>112.27917856751824</v>
      </c>
      <c r="D771" s="54">
        <v>112.27917856751824</v>
      </c>
    </row>
    <row r="772" spans="1:4" x14ac:dyDescent="0.35">
      <c r="A772" s="59" t="s">
        <v>185</v>
      </c>
      <c r="B772" s="60">
        <v>45529</v>
      </c>
      <c r="C772" s="54">
        <v>111.72576008441185</v>
      </c>
      <c r="D772" s="54">
        <v>111.72576008441185</v>
      </c>
    </row>
    <row r="773" spans="1:4" x14ac:dyDescent="0.35">
      <c r="A773" s="59" t="s">
        <v>185</v>
      </c>
      <c r="B773" s="60">
        <v>45536</v>
      </c>
      <c r="C773" s="54">
        <v>118.16071599260864</v>
      </c>
      <c r="D773" s="54">
        <v>118.16071599260864</v>
      </c>
    </row>
    <row r="774" spans="1:4" x14ac:dyDescent="0.35">
      <c r="A774" s="59" t="s">
        <v>185</v>
      </c>
      <c r="B774" s="60">
        <v>45543</v>
      </c>
      <c r="C774" s="54">
        <v>125.80195638377765</v>
      </c>
      <c r="D774" s="54">
        <v>125.80195638377765</v>
      </c>
    </row>
    <row r="775" spans="1:4" x14ac:dyDescent="0.35">
      <c r="A775" s="59" t="s">
        <v>185</v>
      </c>
      <c r="B775" s="60">
        <v>45550</v>
      </c>
      <c r="C775" s="54">
        <v>123.28077870665581</v>
      </c>
      <c r="D775" s="54">
        <v>123.28077870665581</v>
      </c>
    </row>
    <row r="776" spans="1:4" x14ac:dyDescent="0.35">
      <c r="A776" s="59" t="s">
        <v>185</v>
      </c>
      <c r="B776" s="60">
        <v>45557</v>
      </c>
      <c r="C776" s="54">
        <v>129.37265613942515</v>
      </c>
      <c r="D776" s="54">
        <v>129.37265613942515</v>
      </c>
    </row>
    <row r="777" spans="1:4" x14ac:dyDescent="0.35">
      <c r="A777" s="59" t="s">
        <v>185</v>
      </c>
      <c r="B777" s="60">
        <v>45564</v>
      </c>
      <c r="C777" s="54">
        <v>121.80348182892133</v>
      </c>
      <c r="D777" s="54">
        <v>121.80348182892133</v>
      </c>
    </row>
    <row r="778" spans="1:4" x14ac:dyDescent="0.35">
      <c r="A778" s="59" t="s">
        <v>185</v>
      </c>
      <c r="B778" s="60">
        <v>45571</v>
      </c>
      <c r="C778" s="54">
        <v>122.50946944804976</v>
      </c>
      <c r="D778" s="54">
        <v>122.50946944804976</v>
      </c>
    </row>
    <row r="779" spans="1:4" x14ac:dyDescent="0.35">
      <c r="A779" s="59" t="s">
        <v>185</v>
      </c>
      <c r="B779" s="60">
        <v>45578</v>
      </c>
      <c r="C779" s="54">
        <v>115.50962141371055</v>
      </c>
      <c r="D779" s="54">
        <v>115.50962141371055</v>
      </c>
    </row>
    <row r="780" spans="1:4" x14ac:dyDescent="0.35">
      <c r="A780" s="59" t="s">
        <v>185</v>
      </c>
      <c r="B780" s="60">
        <v>45585</v>
      </c>
      <c r="C780" s="54">
        <v>124.51695788041695</v>
      </c>
      <c r="D780" s="54">
        <v>124.51695788041695</v>
      </c>
    </row>
    <row r="781" spans="1:4" x14ac:dyDescent="0.35">
      <c r="A781" s="59" t="s">
        <v>185</v>
      </c>
      <c r="B781" s="60">
        <v>45592</v>
      </c>
      <c r="C781" s="54">
        <v>124.28753199191935</v>
      </c>
      <c r="D781" s="54">
        <v>124.28753199191935</v>
      </c>
    </row>
    <row r="782" spans="1:4" x14ac:dyDescent="0.35">
      <c r="A782" s="59" t="s">
        <v>185</v>
      </c>
      <c r="B782" s="60">
        <v>45599</v>
      </c>
      <c r="C782" s="54">
        <v>125.79332183191732</v>
      </c>
      <c r="D782" s="54">
        <v>125.79332183191732</v>
      </c>
    </row>
    <row r="783" spans="1:4" x14ac:dyDescent="0.35">
      <c r="A783" s="59" t="s">
        <v>185</v>
      </c>
      <c r="B783" s="60">
        <v>45606</v>
      </c>
      <c r="C783" s="54">
        <v>117.72847923856845</v>
      </c>
      <c r="D783" s="54">
        <v>117.72847923856845</v>
      </c>
    </row>
    <row r="784" spans="1:4" x14ac:dyDescent="0.35">
      <c r="A784" s="59" t="s">
        <v>185</v>
      </c>
      <c r="B784" s="60">
        <v>45613</v>
      </c>
      <c r="C784" s="54">
        <v>132.26153560205523</v>
      </c>
      <c r="D784" s="54">
        <v>132.26153560205523</v>
      </c>
    </row>
    <row r="785" spans="1:4" x14ac:dyDescent="0.35">
      <c r="A785" s="59" t="s">
        <v>185</v>
      </c>
      <c r="B785" s="60">
        <v>45620</v>
      </c>
      <c r="C785" s="54">
        <v>117.40097816436639</v>
      </c>
      <c r="D785" s="54">
        <v>117.40097816436639</v>
      </c>
    </row>
    <row r="786" spans="1:4" x14ac:dyDescent="0.35">
      <c r="A786" s="59" t="s">
        <v>185</v>
      </c>
      <c r="B786" s="60">
        <v>45627</v>
      </c>
      <c r="C786" s="54">
        <v>116.73310473777565</v>
      </c>
      <c r="D786" s="54">
        <v>116.73310473777565</v>
      </c>
    </row>
    <row r="787" spans="1:4" x14ac:dyDescent="0.35">
      <c r="A787" s="59" t="s">
        <v>185</v>
      </c>
      <c r="B787" s="60">
        <v>45634</v>
      </c>
      <c r="C787" s="54">
        <v>116.99460998003534</v>
      </c>
      <c r="D787" s="54">
        <v>116.99460998003534</v>
      </c>
    </row>
    <row r="788" spans="1:4" x14ac:dyDescent="0.35">
      <c r="A788" s="59" t="s">
        <v>185</v>
      </c>
      <c r="B788" s="60">
        <v>45641</v>
      </c>
      <c r="C788" s="54">
        <v>116.21155206730414</v>
      </c>
      <c r="D788" s="54">
        <v>116.21155206730414</v>
      </c>
    </row>
    <row r="789" spans="1:4" x14ac:dyDescent="0.35">
      <c r="A789" s="59" t="s">
        <v>185</v>
      </c>
      <c r="B789" s="60">
        <v>45648</v>
      </c>
      <c r="C789" s="54">
        <v>116.51705837582284</v>
      </c>
      <c r="D789" s="54">
        <v>116.51705837582284</v>
      </c>
    </row>
    <row r="790" spans="1:4" x14ac:dyDescent="0.35">
      <c r="A790" s="59" t="s">
        <v>185</v>
      </c>
      <c r="B790" s="60">
        <v>45655</v>
      </c>
      <c r="C790" s="54">
        <v>116.72656571158225</v>
      </c>
      <c r="D790" s="54">
        <v>116.72656571158225</v>
      </c>
    </row>
    <row r="791" spans="1:4" x14ac:dyDescent="0.35">
      <c r="A791" s="59" t="s">
        <v>186</v>
      </c>
      <c r="B791" s="60">
        <v>44570</v>
      </c>
      <c r="C791" s="54">
        <v>116.36408474545787</v>
      </c>
      <c r="D791" s="54">
        <v>116.36408474545787</v>
      </c>
    </row>
    <row r="792" spans="1:4" x14ac:dyDescent="0.35">
      <c r="A792" s="59" t="s">
        <v>186</v>
      </c>
      <c r="B792" s="60">
        <v>44577</v>
      </c>
      <c r="C792" s="54">
        <v>125.52874595258821</v>
      </c>
      <c r="D792" s="54">
        <v>125.52874595258821</v>
      </c>
    </row>
    <row r="793" spans="1:4" x14ac:dyDescent="0.35">
      <c r="A793" s="59" t="s">
        <v>186</v>
      </c>
      <c r="B793" s="60">
        <v>44584</v>
      </c>
      <c r="C793" s="54">
        <v>86.163966859537595</v>
      </c>
      <c r="D793" s="54">
        <v>86.163966859537595</v>
      </c>
    </row>
    <row r="794" spans="1:4" x14ac:dyDescent="0.35">
      <c r="A794" s="59" t="s">
        <v>186</v>
      </c>
      <c r="B794" s="60">
        <v>44591</v>
      </c>
      <c r="C794" s="54">
        <v>314.32377496500806</v>
      </c>
      <c r="D794" s="54">
        <v>314.32377496500806</v>
      </c>
    </row>
    <row r="795" spans="1:4" x14ac:dyDescent="0.35">
      <c r="A795" s="59" t="s">
        <v>186</v>
      </c>
      <c r="B795" s="60">
        <v>44598</v>
      </c>
      <c r="C795" s="54">
        <v>76.27035319297002</v>
      </c>
      <c r="D795" s="54">
        <v>76.27035319297002</v>
      </c>
    </row>
    <row r="796" spans="1:4" x14ac:dyDescent="0.35">
      <c r="A796" s="59" t="s">
        <v>186</v>
      </c>
      <c r="B796" s="60">
        <v>44605</v>
      </c>
      <c r="C796" s="54">
        <v>97.751852069531822</v>
      </c>
      <c r="D796" s="54">
        <v>97.751852069531822</v>
      </c>
    </row>
    <row r="797" spans="1:4" x14ac:dyDescent="0.35">
      <c r="A797" s="59" t="s">
        <v>186</v>
      </c>
      <c r="B797" s="60">
        <v>44612</v>
      </c>
      <c r="C797" s="54">
        <v>0</v>
      </c>
      <c r="D797" s="54">
        <v>0</v>
      </c>
    </row>
    <row r="798" spans="1:4" x14ac:dyDescent="0.35">
      <c r="A798" s="59" t="s">
        <v>186</v>
      </c>
      <c r="B798" s="60">
        <v>44619</v>
      </c>
      <c r="C798" s="54">
        <v>166.45923060554497</v>
      </c>
      <c r="D798" s="54">
        <v>166.45923060554497</v>
      </c>
    </row>
    <row r="799" spans="1:4" x14ac:dyDescent="0.35">
      <c r="A799" s="59" t="s">
        <v>186</v>
      </c>
      <c r="B799" s="60">
        <v>44626</v>
      </c>
      <c r="C799" s="54">
        <v>66.954166769755915</v>
      </c>
      <c r="D799" s="54">
        <v>66.954166769755915</v>
      </c>
    </row>
    <row r="800" spans="1:4" x14ac:dyDescent="0.35">
      <c r="A800" s="59" t="s">
        <v>186</v>
      </c>
      <c r="B800" s="60">
        <v>44633</v>
      </c>
      <c r="C800" s="54">
        <v>96.716213333936651</v>
      </c>
      <c r="D800" s="54">
        <v>96.716213333936651</v>
      </c>
    </row>
    <row r="801" spans="1:4" x14ac:dyDescent="0.35">
      <c r="A801" s="59" t="s">
        <v>186</v>
      </c>
      <c r="B801" s="60">
        <v>44640</v>
      </c>
      <c r="C801" s="54">
        <v>68.792902508433514</v>
      </c>
      <c r="D801" s="54">
        <v>68.792902508433514</v>
      </c>
    </row>
    <row r="802" spans="1:4" x14ac:dyDescent="0.35">
      <c r="A802" s="59" t="s">
        <v>186</v>
      </c>
      <c r="B802" s="60">
        <v>44647</v>
      </c>
      <c r="C802" s="54">
        <v>92.267969639662226</v>
      </c>
      <c r="D802" s="54">
        <v>92.267969639662226</v>
      </c>
    </row>
    <row r="803" spans="1:4" x14ac:dyDescent="0.35">
      <c r="A803" s="59" t="s">
        <v>186</v>
      </c>
      <c r="B803" s="60">
        <v>44654</v>
      </c>
      <c r="C803" s="54">
        <v>83.125050018531525</v>
      </c>
      <c r="D803" s="54">
        <v>83.125050018531525</v>
      </c>
    </row>
    <row r="804" spans="1:4" x14ac:dyDescent="0.35">
      <c r="A804" s="59" t="s">
        <v>186</v>
      </c>
      <c r="B804" s="60">
        <v>44661</v>
      </c>
      <c r="C804" s="54">
        <v>102.79647242885137</v>
      </c>
      <c r="D804" s="54">
        <v>102.79647242885137</v>
      </c>
    </row>
    <row r="805" spans="1:4" x14ac:dyDescent="0.35">
      <c r="A805" s="59" t="s">
        <v>186</v>
      </c>
      <c r="B805" s="60">
        <v>44668</v>
      </c>
      <c r="C805" s="54">
        <v>104.56378408664864</v>
      </c>
      <c r="D805" s="54">
        <v>104.56378408664864</v>
      </c>
    </row>
    <row r="806" spans="1:4" x14ac:dyDescent="0.35">
      <c r="A806" s="59" t="s">
        <v>186</v>
      </c>
      <c r="B806" s="60">
        <v>44675</v>
      </c>
      <c r="C806" s="54">
        <v>99.964848095942315</v>
      </c>
      <c r="D806" s="54">
        <v>99.964848095942315</v>
      </c>
    </row>
    <row r="807" spans="1:4" x14ac:dyDescent="0.35">
      <c r="A807" s="59" t="s">
        <v>186</v>
      </c>
      <c r="B807" s="60">
        <v>44682</v>
      </c>
      <c r="C807" s="54">
        <v>90.82058051141972</v>
      </c>
      <c r="D807" s="54">
        <v>90.82058051141972</v>
      </c>
    </row>
    <row r="808" spans="1:4" x14ac:dyDescent="0.35">
      <c r="A808" s="59" t="s">
        <v>186</v>
      </c>
      <c r="B808" s="60">
        <v>44689</v>
      </c>
      <c r="C808" s="54">
        <v>179.90848886059487</v>
      </c>
      <c r="D808" s="54">
        <v>179.90848886059487</v>
      </c>
    </row>
    <row r="809" spans="1:4" x14ac:dyDescent="0.35">
      <c r="A809" s="59" t="s">
        <v>186</v>
      </c>
      <c r="B809" s="60">
        <v>44696</v>
      </c>
      <c r="C809" s="54">
        <v>162.21148729609581</v>
      </c>
      <c r="D809" s="54">
        <v>162.21148729609581</v>
      </c>
    </row>
    <row r="810" spans="1:4" x14ac:dyDescent="0.35">
      <c r="A810" s="59" t="s">
        <v>186</v>
      </c>
      <c r="B810" s="60">
        <v>44703</v>
      </c>
      <c r="C810" s="54">
        <v>174.25910258897571</v>
      </c>
      <c r="D810" s="54">
        <v>174.25910258897571</v>
      </c>
    </row>
    <row r="811" spans="1:4" x14ac:dyDescent="0.35">
      <c r="A811" s="59" t="s">
        <v>186</v>
      </c>
      <c r="B811" s="60">
        <v>44710</v>
      </c>
      <c r="C811" s="54">
        <v>81.082590420585575</v>
      </c>
      <c r="D811" s="54">
        <v>81.082590420585575</v>
      </c>
    </row>
    <row r="812" spans="1:4" x14ac:dyDescent="0.35">
      <c r="A812" s="59" t="s">
        <v>186</v>
      </c>
      <c r="B812" s="60">
        <v>44717</v>
      </c>
      <c r="C812" s="54">
        <v>200.36123087061804</v>
      </c>
      <c r="D812" s="54">
        <v>200.36123087061804</v>
      </c>
    </row>
    <row r="813" spans="1:4" x14ac:dyDescent="0.35">
      <c r="A813" s="59" t="s">
        <v>186</v>
      </c>
      <c r="B813" s="60">
        <v>44724</v>
      </c>
      <c r="C813" s="54">
        <v>179.25205798899103</v>
      </c>
      <c r="D813" s="54">
        <v>179.25205798899103</v>
      </c>
    </row>
    <row r="814" spans="1:4" x14ac:dyDescent="0.35">
      <c r="A814" s="59" t="s">
        <v>186</v>
      </c>
      <c r="B814" s="60">
        <v>44731</v>
      </c>
      <c r="C814" s="54">
        <v>100.81646684474335</v>
      </c>
      <c r="D814" s="54">
        <v>100.81646684474335</v>
      </c>
    </row>
    <row r="815" spans="1:4" x14ac:dyDescent="0.35">
      <c r="A815" s="59" t="s">
        <v>186</v>
      </c>
      <c r="B815" s="60">
        <v>44738</v>
      </c>
      <c r="C815" s="54">
        <v>194.79805082302261</v>
      </c>
      <c r="D815" s="54">
        <v>194.79805082302261</v>
      </c>
    </row>
    <row r="816" spans="1:4" x14ac:dyDescent="0.35">
      <c r="A816" s="59" t="s">
        <v>186</v>
      </c>
      <c r="B816" s="60">
        <v>44745</v>
      </c>
      <c r="C816" s="54">
        <v>62.40827816971111</v>
      </c>
      <c r="D816" s="54">
        <v>62.40827816971111</v>
      </c>
    </row>
    <row r="817" spans="1:4" x14ac:dyDescent="0.35">
      <c r="A817" s="59" t="s">
        <v>186</v>
      </c>
      <c r="B817" s="60">
        <v>44752</v>
      </c>
      <c r="C817" s="54">
        <v>3.2895126719322434</v>
      </c>
      <c r="D817" s="54">
        <v>3.2895126719322434</v>
      </c>
    </row>
    <row r="818" spans="1:4" x14ac:dyDescent="0.35">
      <c r="A818" s="59" t="s">
        <v>186</v>
      </c>
      <c r="B818" s="60">
        <v>44759</v>
      </c>
      <c r="C818" s="54">
        <v>166.72594015538905</v>
      </c>
      <c r="D818" s="54">
        <v>166.72594015538905</v>
      </c>
    </row>
    <row r="819" spans="1:4" x14ac:dyDescent="0.35">
      <c r="A819" s="59" t="s">
        <v>186</v>
      </c>
      <c r="B819" s="60">
        <v>44766</v>
      </c>
      <c r="C819" s="54">
        <v>93.986071978293765</v>
      </c>
      <c r="D819" s="54">
        <v>93.986071978293765</v>
      </c>
    </row>
    <row r="820" spans="1:4" x14ac:dyDescent="0.35">
      <c r="A820" s="59" t="s">
        <v>186</v>
      </c>
      <c r="B820" s="60">
        <v>44773</v>
      </c>
      <c r="C820" s="54">
        <v>159.25264485798451</v>
      </c>
      <c r="D820" s="54">
        <v>159.25264485798451</v>
      </c>
    </row>
    <row r="821" spans="1:4" x14ac:dyDescent="0.35">
      <c r="A821" s="59" t="s">
        <v>186</v>
      </c>
      <c r="B821" s="60">
        <v>44780</v>
      </c>
      <c r="C821" s="54">
        <v>56.199167172004529</v>
      </c>
      <c r="D821" s="54">
        <v>56.199167172004529</v>
      </c>
    </row>
    <row r="822" spans="1:4" x14ac:dyDescent="0.35">
      <c r="A822" s="59" t="s">
        <v>186</v>
      </c>
      <c r="B822" s="60">
        <v>44787</v>
      </c>
      <c r="C822" s="54">
        <v>31.384602617034943</v>
      </c>
      <c r="D822" s="54">
        <v>31.384602617034943</v>
      </c>
    </row>
    <row r="823" spans="1:4" x14ac:dyDescent="0.35">
      <c r="A823" s="59" t="s">
        <v>186</v>
      </c>
      <c r="B823" s="60">
        <v>44794</v>
      </c>
      <c r="C823" s="54">
        <v>181.65725172800398</v>
      </c>
      <c r="D823" s="54">
        <v>181.65725172800398</v>
      </c>
    </row>
    <row r="824" spans="1:4" x14ac:dyDescent="0.35">
      <c r="A824" s="59" t="s">
        <v>186</v>
      </c>
      <c r="B824" s="60">
        <v>44801</v>
      </c>
      <c r="C824" s="54">
        <v>16.324083125885537</v>
      </c>
      <c r="D824" s="54">
        <v>16.324083125885537</v>
      </c>
    </row>
    <row r="825" spans="1:4" x14ac:dyDescent="0.35">
      <c r="A825" s="59" t="s">
        <v>186</v>
      </c>
      <c r="B825" s="60">
        <v>44808</v>
      </c>
      <c r="C825" s="54">
        <v>7.9684956222059924</v>
      </c>
      <c r="D825" s="54">
        <v>7.9684956222059924</v>
      </c>
    </row>
    <row r="826" spans="1:4" x14ac:dyDescent="0.35">
      <c r="A826" s="59" t="s">
        <v>186</v>
      </c>
      <c r="B826" s="60">
        <v>44815</v>
      </c>
      <c r="C826" s="54">
        <v>0</v>
      </c>
      <c r="D826" s="54">
        <v>0</v>
      </c>
    </row>
    <row r="827" spans="1:4" x14ac:dyDescent="0.35">
      <c r="A827" s="59" t="s">
        <v>186</v>
      </c>
      <c r="B827" s="60">
        <v>44822</v>
      </c>
      <c r="C827" s="54">
        <v>0</v>
      </c>
      <c r="D827" s="54">
        <v>0</v>
      </c>
    </row>
    <row r="828" spans="1:4" x14ac:dyDescent="0.35">
      <c r="A828" s="59" t="s">
        <v>186</v>
      </c>
      <c r="B828" s="60">
        <v>44829</v>
      </c>
      <c r="C828" s="54">
        <v>49.388603987890477</v>
      </c>
      <c r="D828" s="54">
        <v>49.388603987890477</v>
      </c>
    </row>
    <row r="829" spans="1:4" x14ac:dyDescent="0.35">
      <c r="A829" s="59" t="s">
        <v>186</v>
      </c>
      <c r="B829" s="60">
        <v>44836</v>
      </c>
      <c r="C829" s="54">
        <v>0</v>
      </c>
      <c r="D829" s="54">
        <v>0</v>
      </c>
    </row>
    <row r="830" spans="1:4" x14ac:dyDescent="0.35">
      <c r="A830" s="59" t="s">
        <v>186</v>
      </c>
      <c r="B830" s="60">
        <v>44843</v>
      </c>
      <c r="C830" s="54">
        <v>115.21110307993744</v>
      </c>
      <c r="D830" s="54">
        <v>115.21110307993744</v>
      </c>
    </row>
    <row r="831" spans="1:4" x14ac:dyDescent="0.35">
      <c r="A831" s="59" t="s">
        <v>186</v>
      </c>
      <c r="B831" s="60">
        <v>44850</v>
      </c>
      <c r="C831" s="54">
        <v>0</v>
      </c>
      <c r="D831" s="54">
        <v>0</v>
      </c>
    </row>
    <row r="832" spans="1:4" x14ac:dyDescent="0.35">
      <c r="A832" s="59" t="s">
        <v>186</v>
      </c>
      <c r="B832" s="60">
        <v>44857</v>
      </c>
      <c r="C832" s="54">
        <v>41.275827293000376</v>
      </c>
      <c r="D832" s="54">
        <v>41.275827293000376</v>
      </c>
    </row>
    <row r="833" spans="1:4" x14ac:dyDescent="0.35">
      <c r="A833" s="59" t="s">
        <v>186</v>
      </c>
      <c r="B833" s="60">
        <v>44864</v>
      </c>
      <c r="C833" s="54">
        <v>256.84080161438766</v>
      </c>
      <c r="D833" s="54">
        <v>256.84080161438766</v>
      </c>
    </row>
    <row r="834" spans="1:4" x14ac:dyDescent="0.35">
      <c r="A834" s="59" t="s">
        <v>186</v>
      </c>
      <c r="B834" s="60">
        <v>44871</v>
      </c>
      <c r="C834" s="54">
        <v>125.34992079742781</v>
      </c>
      <c r="D834" s="54">
        <v>125.34992079742781</v>
      </c>
    </row>
    <row r="835" spans="1:4" x14ac:dyDescent="0.35">
      <c r="A835" s="59" t="s">
        <v>186</v>
      </c>
      <c r="B835" s="60">
        <v>44878</v>
      </c>
      <c r="C835" s="54">
        <v>110.4159202207296</v>
      </c>
      <c r="D835" s="54">
        <v>110.4159202207296</v>
      </c>
    </row>
    <row r="836" spans="1:4" x14ac:dyDescent="0.35">
      <c r="A836" s="59" t="s">
        <v>186</v>
      </c>
      <c r="B836" s="60">
        <v>44885</v>
      </c>
      <c r="C836" s="54">
        <v>4.7299406537832596</v>
      </c>
      <c r="D836" s="54">
        <v>4.7299406537832596</v>
      </c>
    </row>
    <row r="837" spans="1:4" x14ac:dyDescent="0.35">
      <c r="A837" s="59" t="s">
        <v>186</v>
      </c>
      <c r="B837" s="60">
        <v>44892</v>
      </c>
      <c r="C837" s="54">
        <v>87.009345057444648</v>
      </c>
      <c r="D837" s="54">
        <v>87.009345057444648</v>
      </c>
    </row>
    <row r="838" spans="1:4" x14ac:dyDescent="0.35">
      <c r="A838" s="59" t="s">
        <v>186</v>
      </c>
      <c r="B838" s="60">
        <v>44899</v>
      </c>
      <c r="C838" s="54">
        <v>109.1378041408248</v>
      </c>
      <c r="D838" s="54">
        <v>109.1378041408248</v>
      </c>
    </row>
    <row r="839" spans="1:4" x14ac:dyDescent="0.35">
      <c r="A839" s="59" t="s">
        <v>186</v>
      </c>
      <c r="B839" s="60">
        <v>44906</v>
      </c>
      <c r="C839" s="54">
        <v>4.8055473257113732</v>
      </c>
      <c r="D839" s="54">
        <v>4.8055473257113732</v>
      </c>
    </row>
    <row r="840" spans="1:4" x14ac:dyDescent="0.35">
      <c r="A840" s="59" t="s">
        <v>186</v>
      </c>
      <c r="B840" s="60">
        <v>44913</v>
      </c>
      <c r="C840" s="54">
        <v>112.3025140506948</v>
      </c>
      <c r="D840" s="54">
        <v>112.3025140506948</v>
      </c>
    </row>
    <row r="841" spans="1:4" x14ac:dyDescent="0.35">
      <c r="A841" s="59" t="s">
        <v>186</v>
      </c>
      <c r="B841" s="60">
        <v>44920</v>
      </c>
      <c r="C841" s="54">
        <v>172.88324625725153</v>
      </c>
      <c r="D841" s="54">
        <v>172.88324625725153</v>
      </c>
    </row>
    <row r="842" spans="1:4" x14ac:dyDescent="0.35">
      <c r="A842" s="59" t="s">
        <v>186</v>
      </c>
      <c r="B842" s="60">
        <v>44927</v>
      </c>
      <c r="C842" s="54">
        <v>80.455974729360662</v>
      </c>
      <c r="D842" s="54">
        <v>80.455974729360662</v>
      </c>
    </row>
    <row r="843" spans="1:4" x14ac:dyDescent="0.35">
      <c r="A843" s="59" t="s">
        <v>186</v>
      </c>
      <c r="B843" s="60">
        <v>44934</v>
      </c>
      <c r="C843" s="54">
        <v>89.341584228678613</v>
      </c>
      <c r="D843" s="54">
        <v>89.341584228678613</v>
      </c>
    </row>
    <row r="844" spans="1:4" x14ac:dyDescent="0.35">
      <c r="A844" s="59" t="s">
        <v>186</v>
      </c>
      <c r="B844" s="60">
        <v>44941</v>
      </c>
      <c r="C844" s="54">
        <v>0</v>
      </c>
      <c r="D844" s="54">
        <v>0</v>
      </c>
    </row>
    <row r="845" spans="1:4" x14ac:dyDescent="0.35">
      <c r="A845" s="59" t="s">
        <v>186</v>
      </c>
      <c r="B845" s="60">
        <v>44948</v>
      </c>
      <c r="C845" s="54">
        <v>17.300013243632634</v>
      </c>
      <c r="D845" s="54">
        <v>17.300013243632634</v>
      </c>
    </row>
    <row r="846" spans="1:4" x14ac:dyDescent="0.35">
      <c r="A846" s="59" t="s">
        <v>186</v>
      </c>
      <c r="B846" s="60">
        <v>44955</v>
      </c>
      <c r="C846" s="54">
        <v>164.75612004165833</v>
      </c>
      <c r="D846" s="54">
        <v>164.75612004165833</v>
      </c>
    </row>
    <row r="847" spans="1:4" x14ac:dyDescent="0.35">
      <c r="A847" s="59" t="s">
        <v>186</v>
      </c>
      <c r="B847" s="60">
        <v>44962</v>
      </c>
      <c r="C847" s="54">
        <v>61.642587333313173</v>
      </c>
      <c r="D847" s="54">
        <v>61.642587333313173</v>
      </c>
    </row>
    <row r="848" spans="1:4" x14ac:dyDescent="0.35">
      <c r="A848" s="59" t="s">
        <v>186</v>
      </c>
      <c r="B848" s="60">
        <v>44969</v>
      </c>
      <c r="C848" s="54">
        <v>45.595000066736368</v>
      </c>
      <c r="D848" s="54">
        <v>45.595000066736368</v>
      </c>
    </row>
    <row r="849" spans="1:4" x14ac:dyDescent="0.35">
      <c r="A849" s="59" t="s">
        <v>186</v>
      </c>
      <c r="B849" s="60">
        <v>44976</v>
      </c>
      <c r="C849" s="54">
        <v>59.865665035908002</v>
      </c>
      <c r="D849" s="54">
        <v>59.865665035908002</v>
      </c>
    </row>
    <row r="850" spans="1:4" x14ac:dyDescent="0.35">
      <c r="A850" s="59" t="s">
        <v>186</v>
      </c>
      <c r="B850" s="60">
        <v>44983</v>
      </c>
      <c r="C850" s="54">
        <v>98.016600102526951</v>
      </c>
      <c r="D850" s="54">
        <v>98.016600102526951</v>
      </c>
    </row>
    <row r="851" spans="1:4" x14ac:dyDescent="0.35">
      <c r="A851" s="59" t="s">
        <v>186</v>
      </c>
      <c r="B851" s="60">
        <v>44990</v>
      </c>
      <c r="C851" s="54">
        <v>32.067182081664384</v>
      </c>
      <c r="D851" s="54">
        <v>32.067182081664384</v>
      </c>
    </row>
    <row r="852" spans="1:4" x14ac:dyDescent="0.35">
      <c r="A852" s="59" t="s">
        <v>186</v>
      </c>
      <c r="B852" s="60">
        <v>44997</v>
      </c>
      <c r="C852" s="54">
        <v>109.14978517101169</v>
      </c>
      <c r="D852" s="54">
        <v>109.14978517101169</v>
      </c>
    </row>
    <row r="853" spans="1:4" x14ac:dyDescent="0.35">
      <c r="A853" s="59" t="s">
        <v>186</v>
      </c>
      <c r="B853" s="60">
        <v>45004</v>
      </c>
      <c r="C853" s="54">
        <v>20.05900623071966</v>
      </c>
      <c r="D853" s="54">
        <v>20.05900623071966</v>
      </c>
    </row>
    <row r="854" spans="1:4" x14ac:dyDescent="0.35">
      <c r="A854" s="59" t="s">
        <v>186</v>
      </c>
      <c r="B854" s="60">
        <v>45011</v>
      </c>
      <c r="C854" s="54">
        <v>152.25885263580969</v>
      </c>
      <c r="D854" s="54">
        <v>152.25885263580969</v>
      </c>
    </row>
    <row r="855" spans="1:4" x14ac:dyDescent="0.35">
      <c r="A855" s="59" t="s">
        <v>186</v>
      </c>
      <c r="B855" s="60">
        <v>45018</v>
      </c>
      <c r="C855" s="54">
        <v>38.313524521082428</v>
      </c>
      <c r="D855" s="54">
        <v>38.313524521082428</v>
      </c>
    </row>
    <row r="856" spans="1:4" x14ac:dyDescent="0.35">
      <c r="A856" s="59" t="s">
        <v>186</v>
      </c>
      <c r="B856" s="60">
        <v>45025</v>
      </c>
      <c r="C856" s="54">
        <v>181.46471425242493</v>
      </c>
      <c r="D856" s="54">
        <v>181.46471425242493</v>
      </c>
    </row>
    <row r="857" spans="1:4" x14ac:dyDescent="0.35">
      <c r="A857" s="59" t="s">
        <v>186</v>
      </c>
      <c r="B857" s="60">
        <v>45032</v>
      </c>
      <c r="C857" s="54">
        <v>104.13935018266825</v>
      </c>
      <c r="D857" s="54">
        <v>104.13935018266825</v>
      </c>
    </row>
    <row r="858" spans="1:4" x14ac:dyDescent="0.35">
      <c r="A858" s="59" t="s">
        <v>186</v>
      </c>
      <c r="B858" s="60">
        <v>45039</v>
      </c>
      <c r="C858" s="54">
        <v>63.598389010902736</v>
      </c>
      <c r="D858" s="54">
        <v>63.598389010902736</v>
      </c>
    </row>
    <row r="859" spans="1:4" x14ac:dyDescent="0.35">
      <c r="A859" s="59" t="s">
        <v>186</v>
      </c>
      <c r="B859" s="60">
        <v>45046</v>
      </c>
      <c r="C859" s="54">
        <v>183.58098187151339</v>
      </c>
      <c r="D859" s="54">
        <v>183.58098187151339</v>
      </c>
    </row>
    <row r="860" spans="1:4" x14ac:dyDescent="0.35">
      <c r="A860" s="59" t="s">
        <v>186</v>
      </c>
      <c r="B860" s="60">
        <v>45053</v>
      </c>
      <c r="C860" s="54">
        <v>31.860194543012028</v>
      </c>
      <c r="D860" s="54">
        <v>31.860194543012028</v>
      </c>
    </row>
    <row r="861" spans="1:4" x14ac:dyDescent="0.35">
      <c r="A861" s="59" t="s">
        <v>186</v>
      </c>
      <c r="B861" s="60">
        <v>45060</v>
      </c>
      <c r="C861" s="54">
        <v>91.127037104115189</v>
      </c>
      <c r="D861" s="54">
        <v>91.127037104115189</v>
      </c>
    </row>
    <row r="862" spans="1:4" x14ac:dyDescent="0.35">
      <c r="A862" s="59" t="s">
        <v>186</v>
      </c>
      <c r="B862" s="60">
        <v>45067</v>
      </c>
      <c r="C862" s="54">
        <v>138.37479852222549</v>
      </c>
      <c r="D862" s="54">
        <v>138.37479852222549</v>
      </c>
    </row>
    <row r="863" spans="1:4" x14ac:dyDescent="0.35">
      <c r="A863" s="59" t="s">
        <v>186</v>
      </c>
      <c r="B863" s="60">
        <v>45074</v>
      </c>
      <c r="C863" s="54">
        <v>117.79437252828978</v>
      </c>
      <c r="D863" s="54">
        <v>117.79437252828978</v>
      </c>
    </row>
    <row r="864" spans="1:4" x14ac:dyDescent="0.35">
      <c r="A864" s="59" t="s">
        <v>186</v>
      </c>
      <c r="B864" s="60">
        <v>45081</v>
      </c>
      <c r="C864" s="54">
        <v>0</v>
      </c>
      <c r="D864" s="54">
        <v>0</v>
      </c>
    </row>
    <row r="865" spans="1:4" x14ac:dyDescent="0.35">
      <c r="A865" s="59" t="s">
        <v>186</v>
      </c>
      <c r="B865" s="60">
        <v>45088</v>
      </c>
      <c r="C865" s="54">
        <v>51.665710983120405</v>
      </c>
      <c r="D865" s="54">
        <v>51.665710983120405</v>
      </c>
    </row>
    <row r="866" spans="1:4" x14ac:dyDescent="0.35">
      <c r="A866" s="59" t="s">
        <v>186</v>
      </c>
      <c r="B866" s="60">
        <v>45095</v>
      </c>
      <c r="C866" s="54">
        <v>142.79686239208499</v>
      </c>
      <c r="D866" s="54">
        <v>142.79686239208499</v>
      </c>
    </row>
    <row r="867" spans="1:4" x14ac:dyDescent="0.35">
      <c r="A867" s="59" t="s">
        <v>186</v>
      </c>
      <c r="B867" s="60">
        <v>45102</v>
      </c>
      <c r="C867" s="54">
        <v>33.436652986392176</v>
      </c>
      <c r="D867" s="54">
        <v>33.436652986392176</v>
      </c>
    </row>
    <row r="868" spans="1:4" x14ac:dyDescent="0.35">
      <c r="A868" s="59" t="s">
        <v>186</v>
      </c>
      <c r="B868" s="60">
        <v>45109</v>
      </c>
      <c r="C868" s="54">
        <v>184.18416418657245</v>
      </c>
      <c r="D868" s="54">
        <v>184.18416418657245</v>
      </c>
    </row>
    <row r="869" spans="1:4" x14ac:dyDescent="0.35">
      <c r="A869" s="59" t="s">
        <v>186</v>
      </c>
      <c r="B869" s="60">
        <v>45116</v>
      </c>
      <c r="C869" s="54">
        <v>133.28352216400071</v>
      </c>
      <c r="D869" s="54">
        <v>133.28352216400071</v>
      </c>
    </row>
    <row r="870" spans="1:4" x14ac:dyDescent="0.35">
      <c r="A870" s="59" t="s">
        <v>186</v>
      </c>
      <c r="B870" s="60">
        <v>45123</v>
      </c>
      <c r="C870" s="54">
        <v>71.87111932261746</v>
      </c>
      <c r="D870" s="54">
        <v>71.87111932261746</v>
      </c>
    </row>
    <row r="871" spans="1:4" x14ac:dyDescent="0.35">
      <c r="A871" s="59" t="s">
        <v>186</v>
      </c>
      <c r="B871" s="60">
        <v>45130</v>
      </c>
      <c r="C871" s="54">
        <v>96.448174888086939</v>
      </c>
      <c r="D871" s="54">
        <v>96.448174888086939</v>
      </c>
    </row>
    <row r="872" spans="1:4" x14ac:dyDescent="0.35">
      <c r="A872" s="59" t="s">
        <v>186</v>
      </c>
      <c r="B872" s="60">
        <v>45137</v>
      </c>
      <c r="C872" s="54">
        <v>215.24996142023014</v>
      </c>
      <c r="D872" s="54">
        <v>215.24996142023014</v>
      </c>
    </row>
    <row r="873" spans="1:4" x14ac:dyDescent="0.35">
      <c r="A873" s="59" t="s">
        <v>186</v>
      </c>
      <c r="B873" s="60">
        <v>45144</v>
      </c>
      <c r="C873" s="54">
        <v>160.88718077259671</v>
      </c>
      <c r="D873" s="54">
        <v>160.88718077259671</v>
      </c>
    </row>
    <row r="874" spans="1:4" x14ac:dyDescent="0.35">
      <c r="A874" s="59" t="s">
        <v>186</v>
      </c>
      <c r="B874" s="60">
        <v>45151</v>
      </c>
      <c r="C874" s="54">
        <v>129.0129661001385</v>
      </c>
      <c r="D874" s="54">
        <v>129.0129661001385</v>
      </c>
    </row>
    <row r="875" spans="1:4" x14ac:dyDescent="0.35">
      <c r="A875" s="59" t="s">
        <v>186</v>
      </c>
      <c r="B875" s="60">
        <v>45158</v>
      </c>
      <c r="C875" s="54">
        <v>18.513651987707689</v>
      </c>
      <c r="D875" s="54">
        <v>18.513651987707689</v>
      </c>
    </row>
    <row r="876" spans="1:4" x14ac:dyDescent="0.35">
      <c r="A876" s="59" t="s">
        <v>186</v>
      </c>
      <c r="B876" s="60">
        <v>45165</v>
      </c>
      <c r="C876" s="54">
        <v>202.62852601271726</v>
      </c>
      <c r="D876" s="54">
        <v>202.62852601271726</v>
      </c>
    </row>
    <row r="877" spans="1:4" x14ac:dyDescent="0.35">
      <c r="A877" s="59" t="s">
        <v>186</v>
      </c>
      <c r="B877" s="60">
        <v>45172</v>
      </c>
      <c r="C877" s="54">
        <v>166.50892999578471</v>
      </c>
      <c r="D877" s="54">
        <v>166.50892999578471</v>
      </c>
    </row>
    <row r="878" spans="1:4" x14ac:dyDescent="0.35">
      <c r="A878" s="59" t="s">
        <v>186</v>
      </c>
      <c r="B878" s="60">
        <v>45179</v>
      </c>
      <c r="C878" s="54">
        <v>99.10225478509436</v>
      </c>
      <c r="D878" s="54">
        <v>99.10225478509436</v>
      </c>
    </row>
    <row r="879" spans="1:4" x14ac:dyDescent="0.35">
      <c r="A879" s="59" t="s">
        <v>186</v>
      </c>
      <c r="B879" s="60">
        <v>45186</v>
      </c>
      <c r="C879" s="54">
        <v>77.605184290974208</v>
      </c>
      <c r="D879" s="54">
        <v>77.605184290974208</v>
      </c>
    </row>
    <row r="880" spans="1:4" x14ac:dyDescent="0.35">
      <c r="A880" s="59" t="s">
        <v>186</v>
      </c>
      <c r="B880" s="60">
        <v>45193</v>
      </c>
      <c r="C880" s="54">
        <v>101.93273468877105</v>
      </c>
      <c r="D880" s="54">
        <v>101.93273468877105</v>
      </c>
    </row>
    <row r="881" spans="1:4" x14ac:dyDescent="0.35">
      <c r="A881" s="59" t="s">
        <v>186</v>
      </c>
      <c r="B881" s="60">
        <v>45200</v>
      </c>
      <c r="C881" s="54">
        <v>36.758707990203362</v>
      </c>
      <c r="D881" s="54">
        <v>36.758707990203362</v>
      </c>
    </row>
    <row r="882" spans="1:4" x14ac:dyDescent="0.35">
      <c r="A882" s="59" t="s">
        <v>186</v>
      </c>
      <c r="B882" s="60">
        <v>45207</v>
      </c>
      <c r="C882" s="54">
        <v>80.28975528590135</v>
      </c>
      <c r="D882" s="54">
        <v>80.28975528590135</v>
      </c>
    </row>
    <row r="883" spans="1:4" x14ac:dyDescent="0.35">
      <c r="A883" s="59" t="s">
        <v>186</v>
      </c>
      <c r="B883" s="60">
        <v>45214</v>
      </c>
      <c r="C883" s="54">
        <v>158.18350550821748</v>
      </c>
      <c r="D883" s="54">
        <v>158.18350550821748</v>
      </c>
    </row>
    <row r="884" spans="1:4" x14ac:dyDescent="0.35">
      <c r="A884" s="59" t="s">
        <v>186</v>
      </c>
      <c r="B884" s="60">
        <v>45221</v>
      </c>
      <c r="C884" s="54">
        <v>8.292772218880728</v>
      </c>
      <c r="D884" s="54">
        <v>8.292772218880728</v>
      </c>
    </row>
    <row r="885" spans="1:4" x14ac:dyDescent="0.35">
      <c r="A885" s="59" t="s">
        <v>186</v>
      </c>
      <c r="B885" s="60">
        <v>45228</v>
      </c>
      <c r="C885" s="54">
        <v>103.36708986578606</v>
      </c>
      <c r="D885" s="54">
        <v>103.36708986578606</v>
      </c>
    </row>
    <row r="886" spans="1:4" x14ac:dyDescent="0.35">
      <c r="A886" s="59" t="s">
        <v>186</v>
      </c>
      <c r="B886" s="60">
        <v>45235</v>
      </c>
      <c r="C886" s="54">
        <v>112.62821336390655</v>
      </c>
      <c r="D886" s="54">
        <v>112.62821336390655</v>
      </c>
    </row>
    <row r="887" spans="1:4" x14ac:dyDescent="0.35">
      <c r="A887" s="59" t="s">
        <v>186</v>
      </c>
      <c r="B887" s="60">
        <v>45242</v>
      </c>
      <c r="C887" s="54">
        <v>113.07917728035987</v>
      </c>
      <c r="D887" s="54">
        <v>113.07917728035987</v>
      </c>
    </row>
    <row r="888" spans="1:4" x14ac:dyDescent="0.35">
      <c r="A888" s="59" t="s">
        <v>186</v>
      </c>
      <c r="B888" s="60">
        <v>45249</v>
      </c>
      <c r="C888" s="54">
        <v>37.975634749008861</v>
      </c>
      <c r="D888" s="54">
        <v>37.975634749008861</v>
      </c>
    </row>
    <row r="889" spans="1:4" x14ac:dyDescent="0.35">
      <c r="A889" s="59" t="s">
        <v>186</v>
      </c>
      <c r="B889" s="60">
        <v>45256</v>
      </c>
      <c r="C889" s="54">
        <v>33.928278413794487</v>
      </c>
      <c r="D889" s="54">
        <v>33.928278413794487</v>
      </c>
    </row>
    <row r="890" spans="1:4" x14ac:dyDescent="0.35">
      <c r="A890" s="59" t="s">
        <v>186</v>
      </c>
      <c r="B890" s="60">
        <v>45263</v>
      </c>
      <c r="C890" s="54">
        <v>169.93545336841208</v>
      </c>
      <c r="D890" s="54">
        <v>169.93545336841208</v>
      </c>
    </row>
    <row r="891" spans="1:4" x14ac:dyDescent="0.35">
      <c r="A891" s="59" t="s">
        <v>186</v>
      </c>
      <c r="B891" s="60">
        <v>45270</v>
      </c>
      <c r="C891" s="54">
        <v>30.962767446880363</v>
      </c>
      <c r="D891" s="54">
        <v>30.962767446880363</v>
      </c>
    </row>
    <row r="892" spans="1:4" x14ac:dyDescent="0.35">
      <c r="A892" s="59" t="s">
        <v>186</v>
      </c>
      <c r="B892" s="60">
        <v>45277</v>
      </c>
      <c r="C892" s="54">
        <v>165.32257632553285</v>
      </c>
      <c r="D892" s="54">
        <v>165.32257632553285</v>
      </c>
    </row>
    <row r="893" spans="1:4" x14ac:dyDescent="0.35">
      <c r="A893" s="59" t="s">
        <v>186</v>
      </c>
      <c r="B893" s="60">
        <v>45284</v>
      </c>
      <c r="C893" s="54">
        <v>75.895296051145436</v>
      </c>
      <c r="D893" s="54">
        <v>75.895296051145436</v>
      </c>
    </row>
    <row r="894" spans="1:4" x14ac:dyDescent="0.35">
      <c r="A894" s="59" t="s">
        <v>186</v>
      </c>
      <c r="B894" s="60">
        <v>45291</v>
      </c>
      <c r="C894" s="54">
        <v>169.5633723166377</v>
      </c>
      <c r="D894" s="54">
        <v>169.5633723166377</v>
      </c>
    </row>
    <row r="895" spans="1:4" x14ac:dyDescent="0.35">
      <c r="A895" s="59" t="s">
        <v>186</v>
      </c>
      <c r="B895" s="60">
        <v>45298</v>
      </c>
      <c r="C895" s="54">
        <v>79.535007153915956</v>
      </c>
      <c r="D895" s="54">
        <v>79.535007153915956</v>
      </c>
    </row>
    <row r="896" spans="1:4" x14ac:dyDescent="0.35">
      <c r="A896" s="59" t="s">
        <v>186</v>
      </c>
      <c r="B896" s="60">
        <v>45305</v>
      </c>
      <c r="C896" s="54">
        <v>34.929022906102588</v>
      </c>
      <c r="D896" s="54">
        <v>34.929022906102588</v>
      </c>
    </row>
    <row r="897" spans="1:4" x14ac:dyDescent="0.35">
      <c r="A897" s="59" t="s">
        <v>186</v>
      </c>
      <c r="B897" s="60">
        <v>45312</v>
      </c>
      <c r="C897" s="54">
        <v>156.43084002317585</v>
      </c>
      <c r="D897" s="54">
        <v>156.43084002317585</v>
      </c>
    </row>
    <row r="898" spans="1:4" x14ac:dyDescent="0.35">
      <c r="A898" s="59" t="s">
        <v>186</v>
      </c>
      <c r="B898" s="60">
        <v>45319</v>
      </c>
      <c r="C898" s="54">
        <v>104.11922598328809</v>
      </c>
      <c r="D898" s="54">
        <v>104.11922598328809</v>
      </c>
    </row>
    <row r="899" spans="1:4" x14ac:dyDescent="0.35">
      <c r="A899" s="59" t="s">
        <v>186</v>
      </c>
      <c r="B899" s="60">
        <v>45326</v>
      </c>
      <c r="C899" s="54">
        <v>192.20088860830657</v>
      </c>
      <c r="D899" s="54">
        <v>192.20088860830657</v>
      </c>
    </row>
    <row r="900" spans="1:4" x14ac:dyDescent="0.35">
      <c r="A900" s="59" t="s">
        <v>186</v>
      </c>
      <c r="B900" s="60">
        <v>45333</v>
      </c>
      <c r="C900" s="54">
        <v>158.96286322641103</v>
      </c>
      <c r="D900" s="54">
        <v>158.96286322641103</v>
      </c>
    </row>
    <row r="901" spans="1:4" x14ac:dyDescent="0.35">
      <c r="A901" s="59" t="s">
        <v>186</v>
      </c>
      <c r="B901" s="60">
        <v>45340</v>
      </c>
      <c r="C901" s="54">
        <v>91.782923809952024</v>
      </c>
      <c r="D901" s="54">
        <v>91.782923809952024</v>
      </c>
    </row>
    <row r="902" spans="1:4" x14ac:dyDescent="0.35">
      <c r="A902" s="59" t="s">
        <v>186</v>
      </c>
      <c r="B902" s="60">
        <v>45347</v>
      </c>
      <c r="C902" s="54">
        <v>78.701032959348964</v>
      </c>
      <c r="D902" s="54">
        <v>78.701032959348964</v>
      </c>
    </row>
    <row r="903" spans="1:4" x14ac:dyDescent="0.35">
      <c r="A903" s="59" t="s">
        <v>186</v>
      </c>
      <c r="B903" s="60">
        <v>45354</v>
      </c>
      <c r="C903" s="54">
        <v>107.27606504995987</v>
      </c>
      <c r="D903" s="54">
        <v>107.27606504995987</v>
      </c>
    </row>
    <row r="904" spans="1:4" x14ac:dyDescent="0.35">
      <c r="A904" s="59" t="s">
        <v>186</v>
      </c>
      <c r="B904" s="60">
        <v>45361</v>
      </c>
      <c r="C904" s="54">
        <v>117.38362791292504</v>
      </c>
      <c r="D904" s="54">
        <v>117.38362791292504</v>
      </c>
    </row>
    <row r="905" spans="1:4" x14ac:dyDescent="0.35">
      <c r="A905" s="59" t="s">
        <v>186</v>
      </c>
      <c r="B905" s="60">
        <v>45368</v>
      </c>
      <c r="C905" s="54">
        <v>53.203593288456453</v>
      </c>
      <c r="D905" s="54">
        <v>53.203593288456453</v>
      </c>
    </row>
    <row r="906" spans="1:4" x14ac:dyDescent="0.35">
      <c r="A906" s="59" t="s">
        <v>186</v>
      </c>
      <c r="B906" s="60">
        <v>45375</v>
      </c>
      <c r="C906" s="54">
        <v>156.90577908090242</v>
      </c>
      <c r="D906" s="54">
        <v>156.90577908090242</v>
      </c>
    </row>
    <row r="907" spans="1:4" x14ac:dyDescent="0.35">
      <c r="A907" s="59" t="s">
        <v>186</v>
      </c>
      <c r="B907" s="60">
        <v>45382</v>
      </c>
      <c r="C907" s="54">
        <v>87.77311831924348</v>
      </c>
      <c r="D907" s="54">
        <v>87.77311831924348</v>
      </c>
    </row>
    <row r="908" spans="1:4" x14ac:dyDescent="0.35">
      <c r="A908" s="59" t="s">
        <v>186</v>
      </c>
      <c r="B908" s="60">
        <v>45389</v>
      </c>
      <c r="C908" s="54">
        <v>84.241464381905999</v>
      </c>
      <c r="D908" s="54">
        <v>84.241464381905999</v>
      </c>
    </row>
    <row r="909" spans="1:4" x14ac:dyDescent="0.35">
      <c r="A909" s="59" t="s">
        <v>186</v>
      </c>
      <c r="B909" s="60">
        <v>45396</v>
      </c>
      <c r="C909" s="54">
        <v>74.332397777209877</v>
      </c>
      <c r="D909" s="54">
        <v>74.332397777209877</v>
      </c>
    </row>
    <row r="910" spans="1:4" x14ac:dyDescent="0.35">
      <c r="A910" s="59" t="s">
        <v>186</v>
      </c>
      <c r="B910" s="60">
        <v>45403</v>
      </c>
      <c r="C910" s="54">
        <v>156.4523252566166</v>
      </c>
      <c r="D910" s="54">
        <v>156.4523252566166</v>
      </c>
    </row>
    <row r="911" spans="1:4" x14ac:dyDescent="0.35">
      <c r="A911" s="59" t="s">
        <v>186</v>
      </c>
      <c r="B911" s="60">
        <v>45410</v>
      </c>
      <c r="C911" s="54">
        <v>82.872549062362765</v>
      </c>
      <c r="D911" s="54">
        <v>82.872549062362765</v>
      </c>
    </row>
    <row r="912" spans="1:4" x14ac:dyDescent="0.35">
      <c r="A912" s="59" t="s">
        <v>186</v>
      </c>
      <c r="B912" s="60">
        <v>45417</v>
      </c>
      <c r="C912" s="54">
        <v>149.62980823774825</v>
      </c>
      <c r="D912" s="54">
        <v>149.62980823774825</v>
      </c>
    </row>
    <row r="913" spans="1:4" x14ac:dyDescent="0.35">
      <c r="A913" s="59" t="s">
        <v>186</v>
      </c>
      <c r="B913" s="60">
        <v>45424</v>
      </c>
      <c r="C913" s="54">
        <v>300.89266087917781</v>
      </c>
      <c r="D913" s="54">
        <v>300.89266087917781</v>
      </c>
    </row>
    <row r="914" spans="1:4" x14ac:dyDescent="0.35">
      <c r="A914" s="59" t="s">
        <v>186</v>
      </c>
      <c r="B914" s="60">
        <v>45431</v>
      </c>
      <c r="C914" s="54">
        <v>129.93601681683379</v>
      </c>
      <c r="D914" s="54">
        <v>129.93601681683379</v>
      </c>
    </row>
    <row r="915" spans="1:4" x14ac:dyDescent="0.35">
      <c r="A915" s="59" t="s">
        <v>186</v>
      </c>
      <c r="B915" s="60">
        <v>45438</v>
      </c>
      <c r="C915" s="54">
        <v>106.1783396594937</v>
      </c>
      <c r="D915" s="54">
        <v>106.1783396594937</v>
      </c>
    </row>
    <row r="916" spans="1:4" x14ac:dyDescent="0.35">
      <c r="A916" s="59" t="s">
        <v>186</v>
      </c>
      <c r="B916" s="60">
        <v>45445</v>
      </c>
      <c r="C916" s="54">
        <v>31.156109669111984</v>
      </c>
      <c r="D916" s="54">
        <v>31.156109669111984</v>
      </c>
    </row>
    <row r="917" spans="1:4" x14ac:dyDescent="0.35">
      <c r="A917" s="59" t="s">
        <v>186</v>
      </c>
      <c r="B917" s="60">
        <v>45452</v>
      </c>
      <c r="C917" s="54">
        <v>131.94442702282569</v>
      </c>
      <c r="D917" s="54">
        <v>131.94442702282569</v>
      </c>
    </row>
    <row r="918" spans="1:4" x14ac:dyDescent="0.35">
      <c r="A918" s="59" t="s">
        <v>186</v>
      </c>
      <c r="B918" s="60">
        <v>45459</v>
      </c>
      <c r="C918" s="54">
        <v>64.660722534974809</v>
      </c>
      <c r="D918" s="54">
        <v>64.660722534974809</v>
      </c>
    </row>
    <row r="919" spans="1:4" x14ac:dyDescent="0.35">
      <c r="A919" s="59" t="s">
        <v>186</v>
      </c>
      <c r="B919" s="60">
        <v>45466</v>
      </c>
      <c r="C919" s="54">
        <v>100.9083300369209</v>
      </c>
      <c r="D919" s="54">
        <v>100.9083300369209</v>
      </c>
    </row>
    <row r="920" spans="1:4" x14ac:dyDescent="0.35">
      <c r="A920" s="59" t="s">
        <v>186</v>
      </c>
      <c r="B920" s="60">
        <v>45473</v>
      </c>
      <c r="C920" s="54">
        <v>121.34320996033865</v>
      </c>
      <c r="D920" s="54">
        <v>121.34320996033865</v>
      </c>
    </row>
    <row r="921" spans="1:4" x14ac:dyDescent="0.35">
      <c r="A921" s="59" t="s">
        <v>186</v>
      </c>
      <c r="B921" s="60">
        <v>45480</v>
      </c>
      <c r="C921" s="54">
        <v>5.9073782210628423</v>
      </c>
      <c r="D921" s="54">
        <v>5.9073782210628423</v>
      </c>
    </row>
    <row r="922" spans="1:4" x14ac:dyDescent="0.35">
      <c r="A922" s="59" t="s">
        <v>186</v>
      </c>
      <c r="B922" s="60">
        <v>45487</v>
      </c>
      <c r="C922" s="54">
        <v>118.90308317371932</v>
      </c>
      <c r="D922" s="54">
        <v>118.90308317371932</v>
      </c>
    </row>
    <row r="923" spans="1:4" x14ac:dyDescent="0.35">
      <c r="A923" s="59" t="s">
        <v>186</v>
      </c>
      <c r="B923" s="60">
        <v>45494</v>
      </c>
      <c r="C923" s="54">
        <v>127.84333103664295</v>
      </c>
      <c r="D923" s="54">
        <v>127.84333103664295</v>
      </c>
    </row>
    <row r="924" spans="1:4" x14ac:dyDescent="0.35">
      <c r="A924" s="59" t="s">
        <v>186</v>
      </c>
      <c r="B924" s="60">
        <v>45501</v>
      </c>
      <c r="C924" s="54">
        <v>32.823515812114465</v>
      </c>
      <c r="D924" s="54">
        <v>32.823515812114465</v>
      </c>
    </row>
    <row r="925" spans="1:4" x14ac:dyDescent="0.35">
      <c r="A925" s="59" t="s">
        <v>186</v>
      </c>
      <c r="B925" s="60">
        <v>45508</v>
      </c>
      <c r="C925" s="54">
        <v>88.072221372285725</v>
      </c>
      <c r="D925" s="54">
        <v>88.072221372285725</v>
      </c>
    </row>
    <row r="926" spans="1:4" x14ac:dyDescent="0.35">
      <c r="A926" s="59" t="s">
        <v>186</v>
      </c>
      <c r="B926" s="60">
        <v>45515</v>
      </c>
      <c r="C926" s="54">
        <v>3.8188954926357894</v>
      </c>
      <c r="D926" s="54">
        <v>3.8188954926357894</v>
      </c>
    </row>
    <row r="927" spans="1:4" x14ac:dyDescent="0.35">
      <c r="A927" s="59" t="s">
        <v>186</v>
      </c>
      <c r="B927" s="60">
        <v>45522</v>
      </c>
      <c r="C927" s="54">
        <v>206.80923471806256</v>
      </c>
      <c r="D927" s="54">
        <v>206.80923471806256</v>
      </c>
    </row>
    <row r="928" spans="1:4" x14ac:dyDescent="0.35">
      <c r="A928" s="59" t="s">
        <v>186</v>
      </c>
      <c r="B928" s="60">
        <v>45529</v>
      </c>
      <c r="C928" s="54">
        <v>131.55955667734253</v>
      </c>
      <c r="D928" s="54">
        <v>131.55955667734253</v>
      </c>
    </row>
    <row r="929" spans="1:4" x14ac:dyDescent="0.35">
      <c r="A929" s="59" t="s">
        <v>186</v>
      </c>
      <c r="B929" s="60">
        <v>45536</v>
      </c>
      <c r="C929" s="54">
        <v>107.3854059338625</v>
      </c>
      <c r="D929" s="54">
        <v>107.3854059338625</v>
      </c>
    </row>
    <row r="930" spans="1:4" x14ac:dyDescent="0.35">
      <c r="A930" s="59" t="s">
        <v>186</v>
      </c>
      <c r="B930" s="60">
        <v>45543</v>
      </c>
      <c r="C930" s="54">
        <v>115.9958065444079</v>
      </c>
      <c r="D930" s="54">
        <v>115.9958065444079</v>
      </c>
    </row>
    <row r="931" spans="1:4" x14ac:dyDescent="0.35">
      <c r="A931" s="59" t="s">
        <v>186</v>
      </c>
      <c r="B931" s="60">
        <v>45550</v>
      </c>
      <c r="C931" s="54">
        <v>191.16739519060189</v>
      </c>
      <c r="D931" s="54">
        <v>191.16739519060189</v>
      </c>
    </row>
    <row r="932" spans="1:4" x14ac:dyDescent="0.35">
      <c r="A932" s="59" t="s">
        <v>186</v>
      </c>
      <c r="B932" s="60">
        <v>45557</v>
      </c>
      <c r="C932" s="54">
        <v>123.7227230241885</v>
      </c>
      <c r="D932" s="54">
        <v>123.7227230241885</v>
      </c>
    </row>
    <row r="933" spans="1:4" x14ac:dyDescent="0.35">
      <c r="A933" s="59" t="s">
        <v>186</v>
      </c>
      <c r="B933" s="60">
        <v>45564</v>
      </c>
      <c r="C933" s="54">
        <v>141.65248810546652</v>
      </c>
      <c r="D933" s="54">
        <v>141.65248810546652</v>
      </c>
    </row>
    <row r="934" spans="1:4" x14ac:dyDescent="0.35">
      <c r="A934" s="59" t="s">
        <v>186</v>
      </c>
      <c r="B934" s="60">
        <v>45571</v>
      </c>
      <c r="C934" s="54">
        <v>213.62724306997944</v>
      </c>
      <c r="D934" s="54">
        <v>213.62724306997944</v>
      </c>
    </row>
    <row r="935" spans="1:4" x14ac:dyDescent="0.35">
      <c r="A935" s="59" t="s">
        <v>186</v>
      </c>
      <c r="B935" s="60">
        <v>45578</v>
      </c>
      <c r="C935" s="54">
        <v>94.739592533578659</v>
      </c>
      <c r="D935" s="54">
        <v>94.739592533578659</v>
      </c>
    </row>
    <row r="936" spans="1:4" x14ac:dyDescent="0.35">
      <c r="A936" s="59" t="s">
        <v>186</v>
      </c>
      <c r="B936" s="60">
        <v>45585</v>
      </c>
      <c r="C936" s="54">
        <v>58.958838410013016</v>
      </c>
      <c r="D936" s="54">
        <v>58.958838410013016</v>
      </c>
    </row>
    <row r="937" spans="1:4" x14ac:dyDescent="0.35">
      <c r="A937" s="59" t="s">
        <v>186</v>
      </c>
      <c r="B937" s="60">
        <v>45592</v>
      </c>
      <c r="C937" s="54">
        <v>74.817497506702097</v>
      </c>
      <c r="D937" s="54">
        <v>74.817497506702097</v>
      </c>
    </row>
    <row r="938" spans="1:4" x14ac:dyDescent="0.35">
      <c r="A938" s="59" t="s">
        <v>186</v>
      </c>
      <c r="B938" s="60">
        <v>45599</v>
      </c>
      <c r="C938" s="54">
        <v>211.51315189827523</v>
      </c>
      <c r="D938" s="54">
        <v>211.51315189827523</v>
      </c>
    </row>
    <row r="939" spans="1:4" x14ac:dyDescent="0.35">
      <c r="A939" s="59" t="s">
        <v>186</v>
      </c>
      <c r="B939" s="60">
        <v>45606</v>
      </c>
      <c r="C939" s="54">
        <v>123.21417774941187</v>
      </c>
      <c r="D939" s="54">
        <v>123.21417774941187</v>
      </c>
    </row>
    <row r="940" spans="1:4" x14ac:dyDescent="0.35">
      <c r="A940" s="59" t="s">
        <v>186</v>
      </c>
      <c r="B940" s="60">
        <v>45613</v>
      </c>
      <c r="C940" s="54">
        <v>102.12165830587477</v>
      </c>
      <c r="D940" s="54">
        <v>102.12165830587477</v>
      </c>
    </row>
    <row r="941" spans="1:4" x14ac:dyDescent="0.35">
      <c r="A941" s="59" t="s">
        <v>186</v>
      </c>
      <c r="B941" s="60">
        <v>45620</v>
      </c>
      <c r="C941" s="54">
        <v>175.81964095231592</v>
      </c>
      <c r="D941" s="54">
        <v>175.81964095231592</v>
      </c>
    </row>
    <row r="942" spans="1:4" x14ac:dyDescent="0.35">
      <c r="A942" s="59" t="s">
        <v>186</v>
      </c>
      <c r="B942" s="60">
        <v>45627</v>
      </c>
      <c r="C942" s="54">
        <v>176.61054787840527</v>
      </c>
      <c r="D942" s="54">
        <v>176.61054787840527</v>
      </c>
    </row>
    <row r="943" spans="1:4" x14ac:dyDescent="0.35">
      <c r="A943" s="59" t="s">
        <v>186</v>
      </c>
      <c r="B943" s="60">
        <v>45634</v>
      </c>
      <c r="C943" s="54">
        <v>88.455743905649001</v>
      </c>
      <c r="D943" s="54">
        <v>88.455743905649001</v>
      </c>
    </row>
    <row r="944" spans="1:4" x14ac:dyDescent="0.35">
      <c r="A944" s="59" t="s">
        <v>186</v>
      </c>
      <c r="B944" s="60">
        <v>45641</v>
      </c>
      <c r="C944" s="54">
        <v>57.89534184217711</v>
      </c>
      <c r="D944" s="54">
        <v>57.89534184217711</v>
      </c>
    </row>
    <row r="945" spans="1:4" x14ac:dyDescent="0.35">
      <c r="A945" s="59" t="s">
        <v>186</v>
      </c>
      <c r="B945" s="60">
        <v>45648</v>
      </c>
      <c r="C945" s="54">
        <v>22.285342312150235</v>
      </c>
      <c r="D945" s="54">
        <v>22.285342312150235</v>
      </c>
    </row>
    <row r="946" spans="1:4" x14ac:dyDescent="0.35">
      <c r="A946" s="59" t="s">
        <v>186</v>
      </c>
      <c r="B946" s="60">
        <v>45655</v>
      </c>
      <c r="C946" s="54">
        <v>9.0932304560080297</v>
      </c>
      <c r="D946" s="54">
        <v>9.0932304560080297</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7650" r:id="rId5" name="Upd_Button">
              <controlPr defaultSize="0" print="0" autoFill="0" autoPict="0" macro="[0]!Upd_ets_training_data">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0EB3C-3415-44A9-BFFC-E2831C9E8E37}">
  <sheetPr codeName="Sheet051">
    <tabColor rgb="FF2ECC71"/>
  </sheetPr>
  <dimension ref="A1:P166"/>
  <sheetViews>
    <sheetView zoomScaleNormal="100" workbookViewId="0">
      <pane ySplit="10" topLeftCell="A11" activePane="bottomLeft" state="frozen"/>
      <selection activeCell="A10" sqref="A10"/>
      <selection pane="bottomLeft" activeCell="D11" sqref="D11:D166"/>
    </sheetView>
  </sheetViews>
  <sheetFormatPr defaultColWidth="12.6328125" defaultRowHeight="14.5" x14ac:dyDescent="0.35"/>
  <cols>
    <col min="1" max="1" width="25.54296875" style="8" bestFit="1" customWidth="1"/>
    <col min="2" max="2" width="10.08984375" style="8" bestFit="1" customWidth="1"/>
    <col min="3" max="3" width="11.81640625" style="8" bestFit="1" customWidth="1"/>
    <col min="4" max="4" width="16.36328125" style="8" bestFit="1" customWidth="1"/>
    <col min="5"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c r="D8" s="8">
        <f>C8</f>
        <v>0</v>
      </c>
    </row>
    <row r="9" spans="1:16" ht="5.15" customHeight="1" x14ac:dyDescent="0.35"/>
    <row r="10" spans="1:16" s="13" customFormat="1" x14ac:dyDescent="0.35">
      <c r="A10" s="14" t="s">
        <v>148</v>
      </c>
      <c r="B10" s="14" t="s">
        <v>149</v>
      </c>
      <c r="C10" s="14" t="s">
        <v>150</v>
      </c>
      <c r="D10" s="14" t="s">
        <v>160</v>
      </c>
      <c r="E10" s="55"/>
      <c r="F10" s="55"/>
      <c r="G10" s="55"/>
      <c r="H10" s="55"/>
      <c r="I10" s="55"/>
      <c r="J10" s="55"/>
      <c r="K10" s="55"/>
      <c r="L10" s="55"/>
      <c r="M10" s="55"/>
    </row>
    <row r="11" spans="1:16" x14ac:dyDescent="0.35">
      <c r="A11" s="59" t="s">
        <v>181</v>
      </c>
      <c r="B11" s="60">
        <v>45662</v>
      </c>
      <c r="C11" s="54">
        <v>99.999999999999986</v>
      </c>
      <c r="D11" s="54">
        <v>99.999999999999986</v>
      </c>
    </row>
    <row r="12" spans="1:16" x14ac:dyDescent="0.35">
      <c r="A12" s="59" t="s">
        <v>181</v>
      </c>
      <c r="B12" s="60">
        <v>45669</v>
      </c>
      <c r="C12" s="54">
        <v>102.4107336051064</v>
      </c>
      <c r="D12" s="54">
        <v>102.4107336051064</v>
      </c>
    </row>
    <row r="13" spans="1:16" x14ac:dyDescent="0.35">
      <c r="A13" s="59" t="s">
        <v>181</v>
      </c>
      <c r="B13" s="60">
        <v>45676</v>
      </c>
      <c r="C13" s="54">
        <v>104.78631328575119</v>
      </c>
      <c r="D13" s="54">
        <v>104.78631328575119</v>
      </c>
    </row>
    <row r="14" spans="1:16" x14ac:dyDescent="0.35">
      <c r="A14" s="59" t="s">
        <v>181</v>
      </c>
      <c r="B14" s="60">
        <v>45683</v>
      </c>
      <c r="C14" s="54">
        <v>107.0920977408507</v>
      </c>
      <c r="D14" s="54">
        <v>107.0920977408507</v>
      </c>
    </row>
    <row r="15" spans="1:16" x14ac:dyDescent="0.35">
      <c r="A15" s="59" t="s">
        <v>181</v>
      </c>
      <c r="B15" s="60">
        <v>45690</v>
      </c>
      <c r="C15" s="54">
        <v>109.29446344087538</v>
      </c>
      <c r="D15" s="54">
        <v>109.29446344087538</v>
      </c>
    </row>
    <row r="16" spans="1:16" x14ac:dyDescent="0.35">
      <c r="A16" s="59" t="s">
        <v>181</v>
      </c>
      <c r="B16" s="60">
        <v>45697</v>
      </c>
      <c r="C16" s="54">
        <v>111.36129493462309</v>
      </c>
      <c r="D16" s="54">
        <v>111.36129493462309</v>
      </c>
    </row>
    <row r="17" spans="1:4" x14ac:dyDescent="0.35">
      <c r="A17" s="59" t="s">
        <v>181</v>
      </c>
      <c r="B17" s="60">
        <v>45704</v>
      </c>
      <c r="C17" s="54">
        <v>113.26245316481589</v>
      </c>
      <c r="D17" s="54">
        <v>113.26245316481589</v>
      </c>
    </row>
    <row r="18" spans="1:4" x14ac:dyDescent="0.35">
      <c r="A18" s="59" t="s">
        <v>181</v>
      </c>
      <c r="B18" s="60">
        <v>45711</v>
      </c>
      <c r="C18" s="54">
        <v>114.97021496342198</v>
      </c>
      <c r="D18" s="54">
        <v>114.97021496342198</v>
      </c>
    </row>
    <row r="19" spans="1:4" x14ac:dyDescent="0.35">
      <c r="A19" s="59" t="s">
        <v>181</v>
      </c>
      <c r="B19" s="60">
        <v>45718</v>
      </c>
      <c r="C19" s="54">
        <v>116.45967731787312</v>
      </c>
      <c r="D19" s="54">
        <v>116.45967731787312</v>
      </c>
    </row>
    <row r="20" spans="1:4" x14ac:dyDescent="0.35">
      <c r="A20" s="59" t="s">
        <v>181</v>
      </c>
      <c r="B20" s="60">
        <v>45725</v>
      </c>
      <c r="C20" s="54">
        <v>117.70912051306416</v>
      </c>
      <c r="D20" s="54">
        <v>117.70912051306416</v>
      </c>
    </row>
    <row r="21" spans="1:4" x14ac:dyDescent="0.35">
      <c r="A21" s="59" t="s">
        <v>181</v>
      </c>
      <c r="B21" s="60">
        <v>45732</v>
      </c>
      <c r="C21" s="54">
        <v>118.70032485370831</v>
      </c>
      <c r="D21" s="54">
        <v>118.70032485370831</v>
      </c>
    </row>
    <row r="22" spans="1:4" x14ac:dyDescent="0.35">
      <c r="A22" s="59" t="s">
        <v>181</v>
      </c>
      <c r="B22" s="60">
        <v>45739</v>
      </c>
      <c r="C22" s="54">
        <v>119.41883634852105</v>
      </c>
      <c r="D22" s="54">
        <v>119.41883634852105</v>
      </c>
    </row>
    <row r="23" spans="1:4" x14ac:dyDescent="0.35">
      <c r="A23" s="59" t="s">
        <v>181</v>
      </c>
      <c r="B23" s="60">
        <v>45746</v>
      </c>
      <c r="C23" s="54">
        <v>119.85417748196107</v>
      </c>
      <c r="D23" s="54">
        <v>119.85417748196107</v>
      </c>
    </row>
    <row r="24" spans="1:4" x14ac:dyDescent="0.35">
      <c r="A24" s="59" t="s">
        <v>181</v>
      </c>
      <c r="B24" s="60">
        <v>45753</v>
      </c>
      <c r="C24" s="54">
        <v>120</v>
      </c>
      <c r="D24" s="54">
        <v>120</v>
      </c>
    </row>
    <row r="25" spans="1:4" x14ac:dyDescent="0.35">
      <c r="A25" s="59" t="s">
        <v>181</v>
      </c>
      <c r="B25" s="60">
        <v>45760</v>
      </c>
      <c r="C25" s="54">
        <v>119.85417748196109</v>
      </c>
      <c r="D25" s="54">
        <v>119.85417748196109</v>
      </c>
    </row>
    <row r="26" spans="1:4" x14ac:dyDescent="0.35">
      <c r="A26" s="59" t="s">
        <v>181</v>
      </c>
      <c r="B26" s="60">
        <v>45767</v>
      </c>
      <c r="C26" s="54">
        <v>119.41883634852104</v>
      </c>
      <c r="D26" s="54">
        <v>119.41883634852104</v>
      </c>
    </row>
    <row r="27" spans="1:4" x14ac:dyDescent="0.35">
      <c r="A27" s="59" t="s">
        <v>181</v>
      </c>
      <c r="B27" s="60">
        <v>45774</v>
      </c>
      <c r="C27" s="54">
        <v>118.70032485370831</v>
      </c>
      <c r="D27" s="54">
        <v>118.70032485370831</v>
      </c>
    </row>
    <row r="28" spans="1:4" x14ac:dyDescent="0.35">
      <c r="A28" s="59" t="s">
        <v>181</v>
      </c>
      <c r="B28" s="60">
        <v>45781</v>
      </c>
      <c r="C28" s="54">
        <v>117.70912051306421</v>
      </c>
      <c r="D28" s="54">
        <v>117.70912051306421</v>
      </c>
    </row>
    <row r="29" spans="1:4" x14ac:dyDescent="0.35">
      <c r="A29" s="59" t="s">
        <v>181</v>
      </c>
      <c r="B29" s="60">
        <v>45788</v>
      </c>
      <c r="C29" s="54">
        <v>116.45967731787317</v>
      </c>
      <c r="D29" s="54">
        <v>116.45967731787317</v>
      </c>
    </row>
    <row r="30" spans="1:4" x14ac:dyDescent="0.35">
      <c r="A30" s="59" t="s">
        <v>181</v>
      </c>
      <c r="B30" s="60">
        <v>45795</v>
      </c>
      <c r="C30" s="54">
        <v>114.97021496342205</v>
      </c>
      <c r="D30" s="54">
        <v>114.97021496342205</v>
      </c>
    </row>
    <row r="31" spans="1:4" x14ac:dyDescent="0.35">
      <c r="A31" s="59" t="s">
        <v>181</v>
      </c>
      <c r="B31" s="60">
        <v>45802</v>
      </c>
      <c r="C31" s="54">
        <v>113.26245316481598</v>
      </c>
      <c r="D31" s="54">
        <v>113.26245316481598</v>
      </c>
    </row>
    <row r="32" spans="1:4" x14ac:dyDescent="0.35">
      <c r="A32" s="59" t="s">
        <v>181</v>
      </c>
      <c r="B32" s="60">
        <v>45809</v>
      </c>
      <c r="C32" s="54">
        <v>111.36129493462312</v>
      </c>
      <c r="D32" s="54">
        <v>111.36129493462312</v>
      </c>
    </row>
    <row r="33" spans="1:4" x14ac:dyDescent="0.35">
      <c r="A33" s="59" t="s">
        <v>181</v>
      </c>
      <c r="B33" s="60">
        <v>45816</v>
      </c>
      <c r="C33" s="54">
        <v>109.29446344087535</v>
      </c>
      <c r="D33" s="54">
        <v>109.29446344087535</v>
      </c>
    </row>
    <row r="34" spans="1:4" x14ac:dyDescent="0.35">
      <c r="A34" s="59" t="s">
        <v>181</v>
      </c>
      <c r="B34" s="60">
        <v>45823</v>
      </c>
      <c r="C34" s="54">
        <v>107.09209774085073</v>
      </c>
      <c r="D34" s="54">
        <v>107.09209774085073</v>
      </c>
    </row>
    <row r="35" spans="1:4" x14ac:dyDescent="0.35">
      <c r="A35" s="59" t="s">
        <v>181</v>
      </c>
      <c r="B35" s="60">
        <v>45830</v>
      </c>
      <c r="C35" s="54">
        <v>104.78631328575115</v>
      </c>
      <c r="D35" s="54">
        <v>104.78631328575115</v>
      </c>
    </row>
    <row r="36" spans="1:4" x14ac:dyDescent="0.35">
      <c r="A36" s="59" t="s">
        <v>181</v>
      </c>
      <c r="B36" s="60">
        <v>45837</v>
      </c>
      <c r="C36" s="54">
        <v>102.4107336051065</v>
      </c>
      <c r="D36" s="54">
        <v>102.4107336051065</v>
      </c>
    </row>
    <row r="37" spans="1:4" x14ac:dyDescent="0.35">
      <c r="A37" s="59" t="s">
        <v>182</v>
      </c>
      <c r="B37" s="60">
        <v>45662</v>
      </c>
      <c r="C37" s="54">
        <v>177.99999999999997</v>
      </c>
      <c r="D37" s="54">
        <v>177.99999999999997</v>
      </c>
    </row>
    <row r="38" spans="1:4" x14ac:dyDescent="0.35">
      <c r="A38" s="59" t="s">
        <v>182</v>
      </c>
      <c r="B38" s="60">
        <v>45669</v>
      </c>
      <c r="C38" s="54">
        <v>180.9107336051064</v>
      </c>
      <c r="D38" s="54">
        <v>180.9107336051064</v>
      </c>
    </row>
    <row r="39" spans="1:4" x14ac:dyDescent="0.35">
      <c r="A39" s="59" t="s">
        <v>182</v>
      </c>
      <c r="B39" s="60">
        <v>45676</v>
      </c>
      <c r="C39" s="54">
        <v>183.78631328575119</v>
      </c>
      <c r="D39" s="54">
        <v>183.78631328575119</v>
      </c>
    </row>
    <row r="40" spans="1:4" x14ac:dyDescent="0.35">
      <c r="A40" s="59" t="s">
        <v>182</v>
      </c>
      <c r="B40" s="60">
        <v>45683</v>
      </c>
      <c r="C40" s="54">
        <v>186.5920977408507</v>
      </c>
      <c r="D40" s="54">
        <v>186.5920977408507</v>
      </c>
    </row>
    <row r="41" spans="1:4" x14ac:dyDescent="0.35">
      <c r="A41" s="59" t="s">
        <v>182</v>
      </c>
      <c r="B41" s="60">
        <v>45690</v>
      </c>
      <c r="C41" s="54">
        <v>189.29446344087538</v>
      </c>
      <c r="D41" s="54">
        <v>189.29446344087538</v>
      </c>
    </row>
    <row r="42" spans="1:4" x14ac:dyDescent="0.35">
      <c r="A42" s="59" t="s">
        <v>182</v>
      </c>
      <c r="B42" s="60">
        <v>45697</v>
      </c>
      <c r="C42" s="54">
        <v>191.86129493462309</v>
      </c>
      <c r="D42" s="54">
        <v>191.86129493462309</v>
      </c>
    </row>
    <row r="43" spans="1:4" x14ac:dyDescent="0.35">
      <c r="A43" s="59" t="s">
        <v>182</v>
      </c>
      <c r="B43" s="60">
        <v>45704</v>
      </c>
      <c r="C43" s="54">
        <v>194.26245316481589</v>
      </c>
      <c r="D43" s="54">
        <v>194.26245316481589</v>
      </c>
    </row>
    <row r="44" spans="1:4" x14ac:dyDescent="0.35">
      <c r="A44" s="59" t="s">
        <v>182</v>
      </c>
      <c r="B44" s="60">
        <v>45711</v>
      </c>
      <c r="C44" s="54">
        <v>196.47021496342199</v>
      </c>
      <c r="D44" s="54">
        <v>196.47021496342199</v>
      </c>
    </row>
    <row r="45" spans="1:4" x14ac:dyDescent="0.35">
      <c r="A45" s="59" t="s">
        <v>182</v>
      </c>
      <c r="B45" s="60">
        <v>45718</v>
      </c>
      <c r="C45" s="54">
        <v>198.45967731787312</v>
      </c>
      <c r="D45" s="54">
        <v>198.45967731787312</v>
      </c>
    </row>
    <row r="46" spans="1:4" x14ac:dyDescent="0.35">
      <c r="A46" s="59" t="s">
        <v>182</v>
      </c>
      <c r="B46" s="60">
        <v>45725</v>
      </c>
      <c r="C46" s="54">
        <v>200.20912051306416</v>
      </c>
      <c r="D46" s="54">
        <v>200.20912051306416</v>
      </c>
    </row>
    <row r="47" spans="1:4" x14ac:dyDescent="0.35">
      <c r="A47" s="59" t="s">
        <v>182</v>
      </c>
      <c r="B47" s="60">
        <v>45732</v>
      </c>
      <c r="C47" s="54">
        <v>201.70032485370831</v>
      </c>
      <c r="D47" s="54">
        <v>201.70032485370831</v>
      </c>
    </row>
    <row r="48" spans="1:4" x14ac:dyDescent="0.35">
      <c r="A48" s="59" t="s">
        <v>182</v>
      </c>
      <c r="B48" s="60">
        <v>45739</v>
      </c>
      <c r="C48" s="54">
        <v>202.91883634852104</v>
      </c>
      <c r="D48" s="54">
        <v>202.91883634852104</v>
      </c>
    </row>
    <row r="49" spans="1:4" x14ac:dyDescent="0.35">
      <c r="A49" s="59" t="s">
        <v>182</v>
      </c>
      <c r="B49" s="60">
        <v>45746</v>
      </c>
      <c r="C49" s="54">
        <v>203.85417748196107</v>
      </c>
      <c r="D49" s="54">
        <v>203.85417748196107</v>
      </c>
    </row>
    <row r="50" spans="1:4" x14ac:dyDescent="0.35">
      <c r="A50" s="59" t="s">
        <v>182</v>
      </c>
      <c r="B50" s="60">
        <v>45753</v>
      </c>
      <c r="C50" s="54">
        <v>204.5</v>
      </c>
      <c r="D50" s="54">
        <v>204.5</v>
      </c>
    </row>
    <row r="51" spans="1:4" x14ac:dyDescent="0.35">
      <c r="A51" s="59" t="s">
        <v>182</v>
      </c>
      <c r="B51" s="60">
        <v>45760</v>
      </c>
      <c r="C51" s="54">
        <v>204.85417748196107</v>
      </c>
      <c r="D51" s="54">
        <v>204.85417748196107</v>
      </c>
    </row>
    <row r="52" spans="1:4" x14ac:dyDescent="0.35">
      <c r="A52" s="59" t="s">
        <v>182</v>
      </c>
      <c r="B52" s="60">
        <v>45767</v>
      </c>
      <c r="C52" s="54">
        <v>204.91883634852104</v>
      </c>
      <c r="D52" s="54">
        <v>204.91883634852104</v>
      </c>
    </row>
    <row r="53" spans="1:4" x14ac:dyDescent="0.35">
      <c r="A53" s="59" t="s">
        <v>182</v>
      </c>
      <c r="B53" s="60">
        <v>45774</v>
      </c>
      <c r="C53" s="54">
        <v>204.70032485370831</v>
      </c>
      <c r="D53" s="54">
        <v>204.70032485370831</v>
      </c>
    </row>
    <row r="54" spans="1:4" x14ac:dyDescent="0.35">
      <c r="A54" s="59" t="s">
        <v>182</v>
      </c>
      <c r="B54" s="60">
        <v>45781</v>
      </c>
      <c r="C54" s="54">
        <v>204.20912051306422</v>
      </c>
      <c r="D54" s="54">
        <v>204.20912051306422</v>
      </c>
    </row>
    <row r="55" spans="1:4" x14ac:dyDescent="0.35">
      <c r="A55" s="59" t="s">
        <v>182</v>
      </c>
      <c r="B55" s="60">
        <v>45788</v>
      </c>
      <c r="C55" s="54">
        <v>203.45967731787317</v>
      </c>
      <c r="D55" s="54">
        <v>203.45967731787317</v>
      </c>
    </row>
    <row r="56" spans="1:4" x14ac:dyDescent="0.35">
      <c r="A56" s="59" t="s">
        <v>182</v>
      </c>
      <c r="B56" s="60">
        <v>45795</v>
      </c>
      <c r="C56" s="54">
        <v>202.47021496342205</v>
      </c>
      <c r="D56" s="54">
        <v>202.47021496342205</v>
      </c>
    </row>
    <row r="57" spans="1:4" x14ac:dyDescent="0.35">
      <c r="A57" s="59" t="s">
        <v>182</v>
      </c>
      <c r="B57" s="60">
        <v>45802</v>
      </c>
      <c r="C57" s="54">
        <v>201.26245316481598</v>
      </c>
      <c r="D57" s="54">
        <v>201.26245316481598</v>
      </c>
    </row>
    <row r="58" spans="1:4" x14ac:dyDescent="0.35">
      <c r="A58" s="59" t="s">
        <v>182</v>
      </c>
      <c r="B58" s="60">
        <v>45809</v>
      </c>
      <c r="C58" s="54">
        <v>199.86129493462312</v>
      </c>
      <c r="D58" s="54">
        <v>199.86129493462312</v>
      </c>
    </row>
    <row r="59" spans="1:4" x14ac:dyDescent="0.35">
      <c r="A59" s="59" t="s">
        <v>182</v>
      </c>
      <c r="B59" s="60">
        <v>45816</v>
      </c>
      <c r="C59" s="54">
        <v>198.29446344087535</v>
      </c>
      <c r="D59" s="54">
        <v>198.29446344087535</v>
      </c>
    </row>
    <row r="60" spans="1:4" x14ac:dyDescent="0.35">
      <c r="A60" s="59" t="s">
        <v>182</v>
      </c>
      <c r="B60" s="60">
        <v>45823</v>
      </c>
      <c r="C60" s="54">
        <v>196.59209774085073</v>
      </c>
      <c r="D60" s="54">
        <v>196.59209774085073</v>
      </c>
    </row>
    <row r="61" spans="1:4" x14ac:dyDescent="0.35">
      <c r="A61" s="59" t="s">
        <v>182</v>
      </c>
      <c r="B61" s="60">
        <v>45830</v>
      </c>
      <c r="C61" s="54">
        <v>194.78631328575116</v>
      </c>
      <c r="D61" s="54">
        <v>194.78631328575116</v>
      </c>
    </row>
    <row r="62" spans="1:4" x14ac:dyDescent="0.35">
      <c r="A62" s="59" t="s">
        <v>182</v>
      </c>
      <c r="B62" s="60">
        <v>45837</v>
      </c>
      <c r="C62" s="54">
        <v>192.91073360510651</v>
      </c>
      <c r="D62" s="54">
        <v>192.91073360510651</v>
      </c>
    </row>
    <row r="63" spans="1:4" x14ac:dyDescent="0.35">
      <c r="A63" s="59" t="s">
        <v>183</v>
      </c>
      <c r="B63" s="60">
        <v>45662</v>
      </c>
      <c r="C63" s="54">
        <v>215.31549022289511</v>
      </c>
      <c r="D63" s="54">
        <v>215.31549022289511</v>
      </c>
    </row>
    <row r="64" spans="1:4" x14ac:dyDescent="0.35">
      <c r="A64" s="59" t="s">
        <v>183</v>
      </c>
      <c r="B64" s="60">
        <v>45669</v>
      </c>
      <c r="C64" s="54">
        <v>190.38739202334216</v>
      </c>
      <c r="D64" s="54">
        <v>190.38739202334216</v>
      </c>
    </row>
    <row r="65" spans="1:4" x14ac:dyDescent="0.35">
      <c r="A65" s="59" t="s">
        <v>183</v>
      </c>
      <c r="B65" s="60">
        <v>45676</v>
      </c>
      <c r="C65" s="54">
        <v>159.96024334169823</v>
      </c>
      <c r="D65" s="54">
        <v>159.96024334169823</v>
      </c>
    </row>
    <row r="66" spans="1:4" x14ac:dyDescent="0.35">
      <c r="A66" s="59" t="s">
        <v>183</v>
      </c>
      <c r="B66" s="60">
        <v>45683</v>
      </c>
      <c r="C66" s="54">
        <v>199.7231699135273</v>
      </c>
      <c r="D66" s="54">
        <v>199.7231699135273</v>
      </c>
    </row>
    <row r="67" spans="1:4" x14ac:dyDescent="0.35">
      <c r="A67" s="59" t="s">
        <v>183</v>
      </c>
      <c r="B67" s="60">
        <v>45690</v>
      </c>
      <c r="C67" s="54">
        <v>169.80083003632893</v>
      </c>
      <c r="D67" s="54">
        <v>169.80083003632893</v>
      </c>
    </row>
    <row r="68" spans="1:4" x14ac:dyDescent="0.35">
      <c r="A68" s="59" t="s">
        <v>183</v>
      </c>
      <c r="B68" s="60">
        <v>45697</v>
      </c>
      <c r="C68" s="54">
        <v>207.60298700947214</v>
      </c>
      <c r="D68" s="54">
        <v>207.60298700947214</v>
      </c>
    </row>
    <row r="69" spans="1:4" x14ac:dyDescent="0.35">
      <c r="A69" s="59" t="s">
        <v>183</v>
      </c>
      <c r="B69" s="60">
        <v>45704</v>
      </c>
      <c r="C69" s="54">
        <v>217.43436474496397</v>
      </c>
      <c r="D69" s="54">
        <v>217.43436474496397</v>
      </c>
    </row>
    <row r="70" spans="1:4" x14ac:dyDescent="0.35">
      <c r="A70" s="59" t="s">
        <v>183</v>
      </c>
      <c r="B70" s="60">
        <v>45711</v>
      </c>
      <c r="C70" s="54">
        <v>180.05656859638779</v>
      </c>
      <c r="D70" s="54">
        <v>180.05656859638779</v>
      </c>
    </row>
    <row r="71" spans="1:4" x14ac:dyDescent="0.35">
      <c r="A71" s="59" t="s">
        <v>183</v>
      </c>
      <c r="B71" s="60">
        <v>45718</v>
      </c>
      <c r="C71" s="54">
        <v>217.72719990275954</v>
      </c>
      <c r="D71" s="54">
        <v>217.72719990275954</v>
      </c>
    </row>
    <row r="72" spans="1:4" x14ac:dyDescent="0.35">
      <c r="A72" s="59" t="s">
        <v>183</v>
      </c>
      <c r="B72" s="60">
        <v>45725</v>
      </c>
      <c r="C72" s="54">
        <v>208.46473905179414</v>
      </c>
      <c r="D72" s="54">
        <v>208.46473905179414</v>
      </c>
    </row>
    <row r="73" spans="1:4" x14ac:dyDescent="0.35">
      <c r="A73" s="59" t="s">
        <v>183</v>
      </c>
      <c r="B73" s="60">
        <v>45732</v>
      </c>
      <c r="C73" s="54">
        <v>218.14152805359811</v>
      </c>
      <c r="D73" s="54">
        <v>218.14152805359811</v>
      </c>
    </row>
    <row r="74" spans="1:4" x14ac:dyDescent="0.35">
      <c r="A74" s="59" t="s">
        <v>183</v>
      </c>
      <c r="B74" s="60">
        <v>45739</v>
      </c>
      <c r="C74" s="54">
        <v>240.85469600159999</v>
      </c>
      <c r="D74" s="54">
        <v>240.85469600159999</v>
      </c>
    </row>
    <row r="75" spans="1:4" x14ac:dyDescent="0.35">
      <c r="A75" s="59" t="s">
        <v>183</v>
      </c>
      <c r="B75" s="60">
        <v>45746</v>
      </c>
      <c r="C75" s="54">
        <v>198.94641516190367</v>
      </c>
      <c r="D75" s="54">
        <v>198.94641516190367</v>
      </c>
    </row>
    <row r="76" spans="1:4" x14ac:dyDescent="0.35">
      <c r="A76" s="59" t="s">
        <v>183</v>
      </c>
      <c r="B76" s="60">
        <v>45753</v>
      </c>
      <c r="C76" s="54">
        <v>189.42527671285021</v>
      </c>
      <c r="D76" s="54">
        <v>189.42527671285021</v>
      </c>
    </row>
    <row r="77" spans="1:4" x14ac:dyDescent="0.35">
      <c r="A77" s="59" t="s">
        <v>183</v>
      </c>
      <c r="B77" s="60">
        <v>45760</v>
      </c>
      <c r="C77" s="54">
        <v>187.0638888894506</v>
      </c>
      <c r="D77" s="54">
        <v>187.0638888894506</v>
      </c>
    </row>
    <row r="78" spans="1:4" x14ac:dyDescent="0.35">
      <c r="A78" s="59" t="s">
        <v>183</v>
      </c>
      <c r="B78" s="60">
        <v>45767</v>
      </c>
      <c r="C78" s="54">
        <v>188.60263064921227</v>
      </c>
      <c r="D78" s="54">
        <v>188.60263064921227</v>
      </c>
    </row>
    <row r="79" spans="1:4" x14ac:dyDescent="0.35">
      <c r="A79" s="59" t="s">
        <v>183</v>
      </c>
      <c r="B79" s="60">
        <v>45774</v>
      </c>
      <c r="C79" s="54">
        <v>203.15829066542622</v>
      </c>
      <c r="D79" s="54">
        <v>203.15829066542622</v>
      </c>
    </row>
    <row r="80" spans="1:4" x14ac:dyDescent="0.35">
      <c r="A80" s="59" t="s">
        <v>183</v>
      </c>
      <c r="B80" s="60">
        <v>45781</v>
      </c>
      <c r="C80" s="54">
        <v>211.0321600093971</v>
      </c>
      <c r="D80" s="54">
        <v>211.0321600093971</v>
      </c>
    </row>
    <row r="81" spans="1:4" x14ac:dyDescent="0.35">
      <c r="A81" s="59" t="s">
        <v>183</v>
      </c>
      <c r="B81" s="60">
        <v>45788</v>
      </c>
      <c r="C81" s="54">
        <v>208.99349330447356</v>
      </c>
      <c r="D81" s="54">
        <v>208.99349330447356</v>
      </c>
    </row>
    <row r="82" spans="1:4" x14ac:dyDescent="0.35">
      <c r="A82" s="59" t="s">
        <v>183</v>
      </c>
      <c r="B82" s="60">
        <v>45795</v>
      </c>
      <c r="C82" s="54">
        <v>219.01387994414253</v>
      </c>
      <c r="D82" s="54">
        <v>219.01387994414253</v>
      </c>
    </row>
    <row r="83" spans="1:4" x14ac:dyDescent="0.35">
      <c r="A83" s="59" t="s">
        <v>183</v>
      </c>
      <c r="B83" s="60">
        <v>45802</v>
      </c>
      <c r="C83" s="54">
        <v>201.52249100237412</v>
      </c>
      <c r="D83" s="54">
        <v>201.52249100237412</v>
      </c>
    </row>
    <row r="84" spans="1:4" x14ac:dyDescent="0.35">
      <c r="A84" s="59" t="s">
        <v>183</v>
      </c>
      <c r="B84" s="60">
        <v>45809</v>
      </c>
      <c r="C84" s="54">
        <v>228.93197647776947</v>
      </c>
      <c r="D84" s="54">
        <v>228.93197647776947</v>
      </c>
    </row>
    <row r="85" spans="1:4" x14ac:dyDescent="0.35">
      <c r="A85" s="59" t="s">
        <v>183</v>
      </c>
      <c r="B85" s="60">
        <v>45816</v>
      </c>
      <c r="C85" s="54">
        <v>193.00132677611623</v>
      </c>
      <c r="D85" s="54">
        <v>193.00132677611623</v>
      </c>
    </row>
    <row r="86" spans="1:4" x14ac:dyDescent="0.35">
      <c r="A86" s="59" t="s">
        <v>183</v>
      </c>
      <c r="B86" s="60">
        <v>45823</v>
      </c>
      <c r="C86" s="54">
        <v>250.99548107264312</v>
      </c>
      <c r="D86" s="54">
        <v>250.99548107264312</v>
      </c>
    </row>
    <row r="87" spans="1:4" x14ac:dyDescent="0.35">
      <c r="A87" s="59" t="s">
        <v>183</v>
      </c>
      <c r="B87" s="60">
        <v>45830</v>
      </c>
      <c r="C87" s="54">
        <v>207.2996602410513</v>
      </c>
      <c r="D87" s="54">
        <v>207.2996602410513</v>
      </c>
    </row>
    <row r="88" spans="1:4" x14ac:dyDescent="0.35">
      <c r="A88" s="59" t="s">
        <v>183</v>
      </c>
      <c r="B88" s="60">
        <v>45837</v>
      </c>
      <c r="C88" s="54">
        <v>175.76758247678086</v>
      </c>
      <c r="D88" s="54">
        <v>175.76758247678086</v>
      </c>
    </row>
    <row r="89" spans="1:4" x14ac:dyDescent="0.35">
      <c r="A89" s="59" t="s">
        <v>184</v>
      </c>
      <c r="B89" s="60">
        <v>45662</v>
      </c>
      <c r="C89" s="54">
        <v>100.0000000003073</v>
      </c>
      <c r="D89" s="54">
        <v>100.0000000003073</v>
      </c>
    </row>
    <row r="90" spans="1:4" x14ac:dyDescent="0.35">
      <c r="A90" s="59" t="s">
        <v>184</v>
      </c>
      <c r="B90" s="60">
        <v>45669</v>
      </c>
      <c r="C90" s="54">
        <v>100.00000044143816</v>
      </c>
      <c r="D90" s="54">
        <v>100.00000044143816</v>
      </c>
    </row>
    <row r="91" spans="1:4" x14ac:dyDescent="0.35">
      <c r="A91" s="59" t="s">
        <v>184</v>
      </c>
      <c r="B91" s="60">
        <v>45676</v>
      </c>
      <c r="C91" s="54">
        <v>100.00000000107066</v>
      </c>
      <c r="D91" s="54">
        <v>100.00000000107066</v>
      </c>
    </row>
    <row r="92" spans="1:4" x14ac:dyDescent="0.35">
      <c r="A92" s="59" t="s">
        <v>184</v>
      </c>
      <c r="B92" s="60">
        <v>45683</v>
      </c>
      <c r="C92" s="54">
        <v>100.00000508020175</v>
      </c>
      <c r="D92" s="54">
        <v>100.00000508020175</v>
      </c>
    </row>
    <row r="93" spans="1:4" x14ac:dyDescent="0.35">
      <c r="A93" s="59" t="s">
        <v>184</v>
      </c>
      <c r="B93" s="60">
        <v>45690</v>
      </c>
      <c r="C93" s="54">
        <v>100.00001691502163</v>
      </c>
      <c r="D93" s="54">
        <v>100.00001691502163</v>
      </c>
    </row>
    <row r="94" spans="1:4" x14ac:dyDescent="0.35">
      <c r="A94" s="59" t="s">
        <v>184</v>
      </c>
      <c r="B94" s="60">
        <v>45697</v>
      </c>
      <c r="C94" s="54">
        <v>100.00022911540003</v>
      </c>
      <c r="D94" s="54">
        <v>100.00022911540003</v>
      </c>
    </row>
    <row r="95" spans="1:4" x14ac:dyDescent="0.35">
      <c r="A95" s="59" t="s">
        <v>184</v>
      </c>
      <c r="B95" s="60">
        <v>45704</v>
      </c>
      <c r="C95" s="54">
        <v>100.00041171929439</v>
      </c>
      <c r="D95" s="54">
        <v>100.00041171929439</v>
      </c>
    </row>
    <row r="96" spans="1:4" x14ac:dyDescent="0.35">
      <c r="A96" s="59" t="s">
        <v>184</v>
      </c>
      <c r="B96" s="60">
        <v>45711</v>
      </c>
      <c r="C96" s="54">
        <v>100.00022718824503</v>
      </c>
      <c r="D96" s="54">
        <v>100.00022718824503</v>
      </c>
    </row>
    <row r="97" spans="1:4" x14ac:dyDescent="0.35">
      <c r="A97" s="59" t="s">
        <v>184</v>
      </c>
      <c r="B97" s="60">
        <v>45718</v>
      </c>
      <c r="C97" s="54">
        <v>100.00175790356752</v>
      </c>
      <c r="D97" s="54">
        <v>100.00175790356752</v>
      </c>
    </row>
    <row r="98" spans="1:4" x14ac:dyDescent="0.35">
      <c r="A98" s="59" t="s">
        <v>184</v>
      </c>
      <c r="B98" s="60">
        <v>45725</v>
      </c>
      <c r="C98" s="54">
        <v>100.3031687927154</v>
      </c>
      <c r="D98" s="54">
        <v>100.3031687927154</v>
      </c>
    </row>
    <row r="99" spans="1:4" x14ac:dyDescent="0.35">
      <c r="A99" s="59" t="s">
        <v>184</v>
      </c>
      <c r="B99" s="60">
        <v>45732</v>
      </c>
      <c r="C99" s="54">
        <v>100.00256163345063</v>
      </c>
      <c r="D99" s="54">
        <v>100.00256163345063</v>
      </c>
    </row>
    <row r="100" spans="1:4" x14ac:dyDescent="0.35">
      <c r="A100" s="59" t="s">
        <v>184</v>
      </c>
      <c r="B100" s="60">
        <v>45739</v>
      </c>
      <c r="C100" s="54">
        <v>101.63444004790529</v>
      </c>
      <c r="D100" s="54">
        <v>101.63444004790529</v>
      </c>
    </row>
    <row r="101" spans="1:4" x14ac:dyDescent="0.35">
      <c r="A101" s="59" t="s">
        <v>184</v>
      </c>
      <c r="B101" s="60">
        <v>45746</v>
      </c>
      <c r="C101" s="54">
        <v>100.80884102859191</v>
      </c>
      <c r="D101" s="54">
        <v>100.80884102859191</v>
      </c>
    </row>
    <row r="102" spans="1:4" x14ac:dyDescent="0.35">
      <c r="A102" s="59" t="s">
        <v>184</v>
      </c>
      <c r="B102" s="60">
        <v>45753</v>
      </c>
      <c r="C102" s="54">
        <v>103.02063332348112</v>
      </c>
      <c r="D102" s="54">
        <v>103.02063332348112</v>
      </c>
    </row>
    <row r="103" spans="1:4" x14ac:dyDescent="0.35">
      <c r="A103" s="59" t="s">
        <v>184</v>
      </c>
      <c r="B103" s="60">
        <v>45760</v>
      </c>
      <c r="C103" s="54">
        <v>115.34981661273052</v>
      </c>
      <c r="D103" s="54">
        <v>115.34981661273052</v>
      </c>
    </row>
    <row r="104" spans="1:4" x14ac:dyDescent="0.35">
      <c r="A104" s="59" t="s">
        <v>184</v>
      </c>
      <c r="B104" s="60">
        <v>45767</v>
      </c>
      <c r="C104" s="54">
        <v>111.019909350322</v>
      </c>
      <c r="D104" s="54">
        <v>111.019909350322</v>
      </c>
    </row>
    <row r="105" spans="1:4" x14ac:dyDescent="0.35">
      <c r="A105" s="59" t="s">
        <v>184</v>
      </c>
      <c r="B105" s="60">
        <v>45774</v>
      </c>
      <c r="C105" s="54">
        <v>127.79000710162326</v>
      </c>
      <c r="D105" s="54">
        <v>127.79000710162326</v>
      </c>
    </row>
    <row r="106" spans="1:4" x14ac:dyDescent="0.35">
      <c r="A106" s="59" t="s">
        <v>184</v>
      </c>
      <c r="B106" s="60">
        <v>45781</v>
      </c>
      <c r="C106" s="54">
        <v>117.70222667385559</v>
      </c>
      <c r="D106" s="54">
        <v>117.70222667385559</v>
      </c>
    </row>
    <row r="107" spans="1:4" x14ac:dyDescent="0.35">
      <c r="A107" s="59" t="s">
        <v>184</v>
      </c>
      <c r="B107" s="60">
        <v>45788</v>
      </c>
      <c r="C107" s="54">
        <v>119.36281423322092</v>
      </c>
      <c r="D107" s="54">
        <v>119.36281423322092</v>
      </c>
    </row>
    <row r="108" spans="1:4" x14ac:dyDescent="0.35">
      <c r="A108" s="59" t="s">
        <v>184</v>
      </c>
      <c r="B108" s="60">
        <v>45795</v>
      </c>
      <c r="C108" s="54">
        <v>114.24067898617999</v>
      </c>
      <c r="D108" s="54">
        <v>114.24067898617999</v>
      </c>
    </row>
    <row r="109" spans="1:4" x14ac:dyDescent="0.35">
      <c r="A109" s="59" t="s">
        <v>184</v>
      </c>
      <c r="B109" s="60">
        <v>45802</v>
      </c>
      <c r="C109" s="54">
        <v>122.85348220513286</v>
      </c>
      <c r="D109" s="54">
        <v>122.85348220513286</v>
      </c>
    </row>
    <row r="110" spans="1:4" x14ac:dyDescent="0.35">
      <c r="A110" s="59" t="s">
        <v>184</v>
      </c>
      <c r="B110" s="60">
        <v>45809</v>
      </c>
      <c r="C110" s="54">
        <v>116.18991738751865</v>
      </c>
      <c r="D110" s="54">
        <v>116.18991738751865</v>
      </c>
    </row>
    <row r="111" spans="1:4" x14ac:dyDescent="0.35">
      <c r="A111" s="59" t="s">
        <v>184</v>
      </c>
      <c r="B111" s="60">
        <v>45816</v>
      </c>
      <c r="C111" s="54">
        <v>117.66649462261358</v>
      </c>
      <c r="D111" s="54">
        <v>117.66649462261358</v>
      </c>
    </row>
    <row r="112" spans="1:4" x14ac:dyDescent="0.35">
      <c r="A112" s="59" t="s">
        <v>184</v>
      </c>
      <c r="B112" s="60">
        <v>45823</v>
      </c>
      <c r="C112" s="54">
        <v>124.74432581858603</v>
      </c>
      <c r="D112" s="54">
        <v>124.74432581858603</v>
      </c>
    </row>
    <row r="113" spans="1:4" x14ac:dyDescent="0.35">
      <c r="A113" s="59" t="s">
        <v>184</v>
      </c>
      <c r="B113" s="60">
        <v>45830</v>
      </c>
      <c r="C113" s="54">
        <v>112.50724367752419</v>
      </c>
      <c r="D113" s="54">
        <v>112.50724367752419</v>
      </c>
    </row>
    <row r="114" spans="1:4" x14ac:dyDescent="0.35">
      <c r="A114" s="59" t="s">
        <v>184</v>
      </c>
      <c r="B114" s="60">
        <v>45837</v>
      </c>
      <c r="C114" s="54">
        <v>130.67592257351745</v>
      </c>
      <c r="D114" s="54">
        <v>130.67592257351745</v>
      </c>
    </row>
    <row r="115" spans="1:4" x14ac:dyDescent="0.35">
      <c r="A115" s="59" t="s">
        <v>185</v>
      </c>
      <c r="B115" s="60">
        <v>45662</v>
      </c>
      <c r="C115" s="54">
        <v>116.46917410746666</v>
      </c>
      <c r="D115" s="54">
        <v>116.46917410746666</v>
      </c>
    </row>
    <row r="116" spans="1:4" x14ac:dyDescent="0.35">
      <c r="A116" s="59" t="s">
        <v>185</v>
      </c>
      <c r="B116" s="60">
        <v>45669</v>
      </c>
      <c r="C116" s="54">
        <v>116.863128220614</v>
      </c>
      <c r="D116" s="54">
        <v>116.863128220614</v>
      </c>
    </row>
    <row r="117" spans="1:4" x14ac:dyDescent="0.35">
      <c r="A117" s="59" t="s">
        <v>185</v>
      </c>
      <c r="B117" s="60">
        <v>45676</v>
      </c>
      <c r="C117" s="54">
        <v>117.26663925573639</v>
      </c>
      <c r="D117" s="54">
        <v>117.26663925573639</v>
      </c>
    </row>
    <row r="118" spans="1:4" x14ac:dyDescent="0.35">
      <c r="A118" s="59" t="s">
        <v>185</v>
      </c>
      <c r="B118" s="60">
        <v>45683</v>
      </c>
      <c r="C118" s="54">
        <v>117.67995386577647</v>
      </c>
      <c r="D118" s="54">
        <v>117.67995386577647</v>
      </c>
    </row>
    <row r="119" spans="1:4" x14ac:dyDescent="0.35">
      <c r="A119" s="59" t="s">
        <v>185</v>
      </c>
      <c r="B119" s="60">
        <v>45690</v>
      </c>
      <c r="C119" s="54">
        <v>118.10331962747267</v>
      </c>
      <c r="D119" s="54">
        <v>118.10331962747267</v>
      </c>
    </row>
    <row r="120" spans="1:4" x14ac:dyDescent="0.35">
      <c r="A120" s="59" t="s">
        <v>185</v>
      </c>
      <c r="B120" s="60">
        <v>45697</v>
      </c>
      <c r="C120" s="54">
        <v>118.53718273390565</v>
      </c>
      <c r="D120" s="54">
        <v>118.53718273390565</v>
      </c>
    </row>
    <row r="121" spans="1:4" x14ac:dyDescent="0.35">
      <c r="A121" s="59" t="s">
        <v>185</v>
      </c>
      <c r="B121" s="60">
        <v>45704</v>
      </c>
      <c r="C121" s="54">
        <v>118.98157220686822</v>
      </c>
      <c r="D121" s="54">
        <v>118.98157220686822</v>
      </c>
    </row>
    <row r="122" spans="1:4" x14ac:dyDescent="0.35">
      <c r="A122" s="59" t="s">
        <v>185</v>
      </c>
      <c r="B122" s="60">
        <v>45711</v>
      </c>
      <c r="C122" s="54">
        <v>119.43641605432227</v>
      </c>
      <c r="D122" s="54">
        <v>119.43641605432227</v>
      </c>
    </row>
    <row r="123" spans="1:4" x14ac:dyDescent="0.35">
      <c r="A123" s="59" t="s">
        <v>185</v>
      </c>
      <c r="B123" s="60">
        <v>45718</v>
      </c>
      <c r="C123" s="54">
        <v>119.9040689326541</v>
      </c>
      <c r="D123" s="54">
        <v>119.9040689326541</v>
      </c>
    </row>
    <row r="124" spans="1:4" x14ac:dyDescent="0.35">
      <c r="A124" s="59" t="s">
        <v>185</v>
      </c>
      <c r="B124" s="60">
        <v>45725</v>
      </c>
      <c r="C124" s="54">
        <v>120.68297494330551</v>
      </c>
      <c r="D124" s="54">
        <v>120.68297494330551</v>
      </c>
    </row>
    <row r="125" spans="1:4" x14ac:dyDescent="0.35">
      <c r="A125" s="59" t="s">
        <v>185</v>
      </c>
      <c r="B125" s="60">
        <v>45732</v>
      </c>
      <c r="C125" s="54">
        <v>120.871522111524</v>
      </c>
      <c r="D125" s="54">
        <v>120.871522111524</v>
      </c>
    </row>
    <row r="126" spans="1:4" x14ac:dyDescent="0.35">
      <c r="A126" s="59" t="s">
        <v>185</v>
      </c>
      <c r="B126" s="60">
        <v>45739</v>
      </c>
      <c r="C126" s="54">
        <v>123.00450755942482</v>
      </c>
      <c r="D126" s="54">
        <v>123.00450755942482</v>
      </c>
    </row>
    <row r="127" spans="1:4" x14ac:dyDescent="0.35">
      <c r="A127" s="59" t="s">
        <v>185</v>
      </c>
      <c r="B127" s="60">
        <v>45746</v>
      </c>
      <c r="C127" s="54">
        <v>122.69226921553449</v>
      </c>
      <c r="D127" s="54">
        <v>122.69226921553449</v>
      </c>
    </row>
    <row r="128" spans="1:4" x14ac:dyDescent="0.35">
      <c r="A128" s="59" t="s">
        <v>185</v>
      </c>
      <c r="B128" s="60">
        <v>45753</v>
      </c>
      <c r="C128" s="54">
        <v>125.42998438804857</v>
      </c>
      <c r="D128" s="54">
        <v>125.42998438804857</v>
      </c>
    </row>
    <row r="129" spans="1:4" x14ac:dyDescent="0.35">
      <c r="A129" s="59" t="s">
        <v>185</v>
      </c>
      <c r="B129" s="60">
        <v>45760</v>
      </c>
      <c r="C129" s="54">
        <v>138.29796913450576</v>
      </c>
      <c r="D129" s="54">
        <v>138.29796913450576</v>
      </c>
    </row>
    <row r="130" spans="1:4" x14ac:dyDescent="0.35">
      <c r="A130" s="59" t="s">
        <v>185</v>
      </c>
      <c r="B130" s="60">
        <v>45767</v>
      </c>
      <c r="C130" s="54">
        <v>134.52006630125607</v>
      </c>
      <c r="D130" s="54">
        <v>134.52006630125607</v>
      </c>
    </row>
    <row r="131" spans="1:4" x14ac:dyDescent="0.35">
      <c r="A131" s="59" t="s">
        <v>185</v>
      </c>
      <c r="B131" s="60">
        <v>45774</v>
      </c>
      <c r="C131" s="54">
        <v>151.85570406386188</v>
      </c>
      <c r="D131" s="54">
        <v>151.85570406386188</v>
      </c>
    </row>
    <row r="132" spans="1:4" x14ac:dyDescent="0.35">
      <c r="A132" s="59" t="s">
        <v>185</v>
      </c>
      <c r="B132" s="60">
        <v>45781</v>
      </c>
      <c r="C132" s="54">
        <v>142.34734026554167</v>
      </c>
      <c r="D132" s="54">
        <v>142.34734026554167</v>
      </c>
    </row>
    <row r="133" spans="1:4" x14ac:dyDescent="0.35">
      <c r="A133" s="59" t="s">
        <v>185</v>
      </c>
      <c r="B133" s="60">
        <v>45788</v>
      </c>
      <c r="C133" s="54">
        <v>144.60157074753866</v>
      </c>
      <c r="D133" s="54">
        <v>144.60157074753866</v>
      </c>
    </row>
    <row r="134" spans="1:4" x14ac:dyDescent="0.35">
      <c r="A134" s="59" t="s">
        <v>185</v>
      </c>
      <c r="B134" s="60">
        <v>45795</v>
      </c>
      <c r="C134" s="54">
        <v>140.08766324903991</v>
      </c>
      <c r="D134" s="54">
        <v>140.08766324903991</v>
      </c>
    </row>
    <row r="135" spans="1:4" x14ac:dyDescent="0.35">
      <c r="A135" s="59" t="s">
        <v>185</v>
      </c>
      <c r="B135" s="60">
        <v>45802</v>
      </c>
      <c r="C135" s="54">
        <v>149.32364665703349</v>
      </c>
      <c r="D135" s="54">
        <v>149.32364665703349</v>
      </c>
    </row>
    <row r="136" spans="1:4" x14ac:dyDescent="0.35">
      <c r="A136" s="59" t="s">
        <v>185</v>
      </c>
      <c r="B136" s="60">
        <v>45809</v>
      </c>
      <c r="C136" s="54">
        <v>143.29859139526107</v>
      </c>
      <c r="D136" s="54">
        <v>143.29859139526107</v>
      </c>
    </row>
    <row r="137" spans="1:4" x14ac:dyDescent="0.35">
      <c r="A137" s="59" t="s">
        <v>185</v>
      </c>
      <c r="B137" s="60">
        <v>45816</v>
      </c>
      <c r="C137" s="54">
        <v>145.42939402668824</v>
      </c>
      <c r="D137" s="54">
        <v>145.42939402668824</v>
      </c>
    </row>
    <row r="138" spans="1:4" x14ac:dyDescent="0.35">
      <c r="A138" s="59" t="s">
        <v>185</v>
      </c>
      <c r="B138" s="60">
        <v>45823</v>
      </c>
      <c r="C138" s="54">
        <v>153.17756272219899</v>
      </c>
      <c r="D138" s="54">
        <v>153.17756272219899</v>
      </c>
    </row>
    <row r="139" spans="1:4" x14ac:dyDescent="0.35">
      <c r="A139" s="59" t="s">
        <v>185</v>
      </c>
      <c r="B139" s="60">
        <v>45830</v>
      </c>
      <c r="C139" s="54">
        <v>141.6273364833805</v>
      </c>
      <c r="D139" s="54">
        <v>141.6273364833805</v>
      </c>
    </row>
    <row r="140" spans="1:4" x14ac:dyDescent="0.35">
      <c r="A140" s="59" t="s">
        <v>185</v>
      </c>
      <c r="B140" s="60">
        <v>45837</v>
      </c>
      <c r="C140" s="54">
        <v>160.49980627463518</v>
      </c>
      <c r="D140" s="54">
        <v>160.49980627463518</v>
      </c>
    </row>
    <row r="141" spans="1:4" x14ac:dyDescent="0.35">
      <c r="A141" s="59" t="s">
        <v>186</v>
      </c>
      <c r="B141" s="60">
        <v>45662</v>
      </c>
      <c r="C141" s="54">
        <v>100.56998699670685</v>
      </c>
      <c r="D141" s="54">
        <v>100.56998699670685</v>
      </c>
    </row>
    <row r="142" spans="1:4" x14ac:dyDescent="0.35">
      <c r="A142" s="59" t="s">
        <v>186</v>
      </c>
      <c r="B142" s="60">
        <v>45669</v>
      </c>
      <c r="C142" s="54">
        <v>63.271371398406423</v>
      </c>
      <c r="D142" s="54">
        <v>63.271371398406423</v>
      </c>
    </row>
    <row r="143" spans="1:4" x14ac:dyDescent="0.35">
      <c r="A143" s="59" t="s">
        <v>186</v>
      </c>
      <c r="B143" s="60">
        <v>45676</v>
      </c>
      <c r="C143" s="54">
        <v>228.77510384410752</v>
      </c>
      <c r="D143" s="54">
        <v>228.77510384410752</v>
      </c>
    </row>
    <row r="144" spans="1:4" x14ac:dyDescent="0.35">
      <c r="A144" s="59" t="s">
        <v>186</v>
      </c>
      <c r="B144" s="60">
        <v>45683</v>
      </c>
      <c r="C144" s="54">
        <v>121.19221914747791</v>
      </c>
      <c r="D144" s="54">
        <v>121.19221914747791</v>
      </c>
    </row>
    <row r="145" spans="1:4" x14ac:dyDescent="0.35">
      <c r="A145" s="59" t="s">
        <v>186</v>
      </c>
      <c r="B145" s="60">
        <v>45690</v>
      </c>
      <c r="C145" s="54">
        <v>1.5743470324030682</v>
      </c>
      <c r="D145" s="54">
        <v>1.5743470324030682</v>
      </c>
    </row>
    <row r="146" spans="1:4" x14ac:dyDescent="0.35">
      <c r="A146" s="59" t="s">
        <v>186</v>
      </c>
      <c r="B146" s="60">
        <v>45697</v>
      </c>
      <c r="C146" s="54">
        <v>203.66093926450941</v>
      </c>
      <c r="D146" s="54">
        <v>203.66093926450941</v>
      </c>
    </row>
    <row r="147" spans="1:4" x14ac:dyDescent="0.35">
      <c r="A147" s="59" t="s">
        <v>186</v>
      </c>
      <c r="B147" s="60">
        <v>45704</v>
      </c>
      <c r="C147" s="54">
        <v>128.68419077192397</v>
      </c>
      <c r="D147" s="54">
        <v>128.68419077192397</v>
      </c>
    </row>
    <row r="148" spans="1:4" x14ac:dyDescent="0.35">
      <c r="A148" s="59" t="s">
        <v>186</v>
      </c>
      <c r="B148" s="60">
        <v>45711</v>
      </c>
      <c r="C148" s="54">
        <v>161.73518487670859</v>
      </c>
      <c r="D148" s="54">
        <v>161.73518487670859</v>
      </c>
    </row>
    <row r="149" spans="1:4" x14ac:dyDescent="0.35">
      <c r="A149" s="59" t="s">
        <v>186</v>
      </c>
      <c r="B149" s="60">
        <v>45718</v>
      </c>
      <c r="C149" s="54">
        <v>160.82615554265871</v>
      </c>
      <c r="D149" s="54">
        <v>160.82615554265871</v>
      </c>
    </row>
    <row r="150" spans="1:4" x14ac:dyDescent="0.35">
      <c r="A150" s="59" t="s">
        <v>186</v>
      </c>
      <c r="B150" s="60">
        <v>45725</v>
      </c>
      <c r="C150" s="54">
        <v>138.47636898049785</v>
      </c>
      <c r="D150" s="54">
        <v>138.47636898049785</v>
      </c>
    </row>
    <row r="151" spans="1:4" x14ac:dyDescent="0.35">
      <c r="A151" s="59" t="s">
        <v>186</v>
      </c>
      <c r="B151" s="60">
        <v>45732</v>
      </c>
      <c r="C151" s="54">
        <v>152.27207993759663</v>
      </c>
      <c r="D151" s="54">
        <v>152.27207993759663</v>
      </c>
    </row>
    <row r="152" spans="1:4" x14ac:dyDescent="0.35">
      <c r="A152" s="59" t="s">
        <v>186</v>
      </c>
      <c r="B152" s="60">
        <v>45739</v>
      </c>
      <c r="C152" s="54">
        <v>137.33014786320715</v>
      </c>
      <c r="D152" s="54">
        <v>137.33014786320715</v>
      </c>
    </row>
    <row r="153" spans="1:4" x14ac:dyDescent="0.35">
      <c r="A153" s="59" t="s">
        <v>186</v>
      </c>
      <c r="B153" s="60">
        <v>45746</v>
      </c>
      <c r="C153" s="54">
        <v>56.309114857608265</v>
      </c>
      <c r="D153" s="54">
        <v>56.309114857608265</v>
      </c>
    </row>
    <row r="154" spans="1:4" x14ac:dyDescent="0.35">
      <c r="A154" s="59" t="s">
        <v>186</v>
      </c>
      <c r="B154" s="60">
        <v>45753</v>
      </c>
      <c r="C154" s="54">
        <v>147.43391627659702</v>
      </c>
      <c r="D154" s="54">
        <v>147.43391627659702</v>
      </c>
    </row>
    <row r="155" spans="1:4" x14ac:dyDescent="0.35">
      <c r="A155" s="59" t="s">
        <v>186</v>
      </c>
      <c r="B155" s="60">
        <v>45760</v>
      </c>
      <c r="C155" s="54">
        <v>199.73229943405818</v>
      </c>
      <c r="D155" s="54">
        <v>199.73229943405818</v>
      </c>
    </row>
    <row r="156" spans="1:4" x14ac:dyDescent="0.35">
      <c r="A156" s="59" t="s">
        <v>186</v>
      </c>
      <c r="B156" s="60">
        <v>45767</v>
      </c>
      <c r="C156" s="54">
        <v>121.91668154250699</v>
      </c>
      <c r="D156" s="54">
        <v>121.91668154250699</v>
      </c>
    </row>
    <row r="157" spans="1:4" x14ac:dyDescent="0.35">
      <c r="A157" s="59" t="s">
        <v>186</v>
      </c>
      <c r="B157" s="60">
        <v>45774</v>
      </c>
      <c r="C157" s="54">
        <v>184.93383714804719</v>
      </c>
      <c r="D157" s="54">
        <v>184.93383714804719</v>
      </c>
    </row>
    <row r="158" spans="1:4" x14ac:dyDescent="0.35">
      <c r="A158" s="59" t="s">
        <v>186</v>
      </c>
      <c r="B158" s="60">
        <v>45781</v>
      </c>
      <c r="C158" s="54">
        <v>167.52268897742539</v>
      </c>
      <c r="D158" s="54">
        <v>167.52268897742539</v>
      </c>
    </row>
    <row r="159" spans="1:4" x14ac:dyDescent="0.35">
      <c r="A159" s="59" t="s">
        <v>186</v>
      </c>
      <c r="B159" s="60">
        <v>45788</v>
      </c>
      <c r="C159" s="54">
        <v>253.54069458268509</v>
      </c>
      <c r="D159" s="54">
        <v>253.54069458268509</v>
      </c>
    </row>
    <row r="160" spans="1:4" x14ac:dyDescent="0.35">
      <c r="A160" s="59" t="s">
        <v>186</v>
      </c>
      <c r="B160" s="60">
        <v>45795</v>
      </c>
      <c r="C160" s="54">
        <v>124.92264520705429</v>
      </c>
      <c r="D160" s="54">
        <v>124.92264520705429</v>
      </c>
    </row>
    <row r="161" spans="1:4" x14ac:dyDescent="0.35">
      <c r="A161" s="59" t="s">
        <v>186</v>
      </c>
      <c r="B161" s="60">
        <v>45802</v>
      </c>
      <c r="C161" s="54">
        <v>131.80339689081902</v>
      </c>
      <c r="D161" s="54">
        <v>131.80339689081902</v>
      </c>
    </row>
    <row r="162" spans="1:4" x14ac:dyDescent="0.35">
      <c r="A162" s="59" t="s">
        <v>186</v>
      </c>
      <c r="B162" s="60">
        <v>45809</v>
      </c>
      <c r="C162" s="54">
        <v>136.2826869864561</v>
      </c>
      <c r="D162" s="54">
        <v>136.2826869864561</v>
      </c>
    </row>
    <row r="163" spans="1:4" x14ac:dyDescent="0.35">
      <c r="A163" s="59" t="s">
        <v>186</v>
      </c>
      <c r="B163" s="60">
        <v>45816</v>
      </c>
      <c r="C163" s="54">
        <v>139.28592952046685</v>
      </c>
      <c r="D163" s="54">
        <v>139.28592952046685</v>
      </c>
    </row>
    <row r="164" spans="1:4" x14ac:dyDescent="0.35">
      <c r="A164" s="59" t="s">
        <v>186</v>
      </c>
      <c r="B164" s="60">
        <v>45823</v>
      </c>
      <c r="C164" s="54">
        <v>16.820500064940859</v>
      </c>
      <c r="D164" s="54">
        <v>16.820500064940859</v>
      </c>
    </row>
    <row r="165" spans="1:4" x14ac:dyDescent="0.35">
      <c r="A165" s="59" t="s">
        <v>186</v>
      </c>
      <c r="B165" s="60">
        <v>45830</v>
      </c>
      <c r="C165" s="54">
        <v>103.07074599538623</v>
      </c>
      <c r="D165" s="54">
        <v>103.07074599538623</v>
      </c>
    </row>
    <row r="166" spans="1:4" x14ac:dyDescent="0.35">
      <c r="A166" s="59" t="s">
        <v>186</v>
      </c>
      <c r="B166" s="60">
        <v>45837</v>
      </c>
      <c r="C166" s="54">
        <v>178.49291026738157</v>
      </c>
      <c r="D166" s="54">
        <v>178.49291026738157</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Upd_ets_test_data">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7609D-4A5C-4AAF-BF28-FA23FD36FB5A}">
  <sheetPr codeName="Sheet054">
    <tabColor rgb="FF2ECC71"/>
  </sheetPr>
  <dimension ref="A1:P166"/>
  <sheetViews>
    <sheetView zoomScaleNormal="100" workbookViewId="0">
      <pane ySplit="10" topLeftCell="A11" activePane="bottomLeft" state="frozen"/>
      <selection activeCell="A10" sqref="A10"/>
      <selection pane="bottomLeft" activeCell="D11" sqref="D11:D166"/>
    </sheetView>
  </sheetViews>
  <sheetFormatPr defaultColWidth="12.6328125" defaultRowHeight="14.5" x14ac:dyDescent="0.35"/>
  <cols>
    <col min="1" max="1" width="25.54296875" style="8" bestFit="1" customWidth="1"/>
    <col min="2" max="2" width="10.08984375" style="8" bestFit="1" customWidth="1"/>
    <col min="3" max="3" width="18.08984375" style="8" bestFit="1" customWidth="1"/>
    <col min="4" max="4" width="20.453125" style="8" bestFit="1" customWidth="1"/>
    <col min="5"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c r="D8" s="8">
        <f>C8</f>
        <v>0</v>
      </c>
    </row>
    <row r="9" spans="1:16" ht="5.15" customHeight="1" x14ac:dyDescent="0.35"/>
    <row r="10" spans="1:16" s="13" customFormat="1" x14ac:dyDescent="0.35">
      <c r="A10" s="14" t="s">
        <v>148</v>
      </c>
      <c r="B10" s="14" t="s">
        <v>149</v>
      </c>
      <c r="C10" s="14" t="s">
        <v>152</v>
      </c>
      <c r="D10" s="14" t="s">
        <v>162</v>
      </c>
      <c r="E10" s="55"/>
      <c r="F10" s="55"/>
      <c r="G10" s="55"/>
      <c r="H10" s="55"/>
      <c r="I10" s="55"/>
      <c r="J10" s="55"/>
      <c r="K10" s="55"/>
      <c r="L10" s="55"/>
      <c r="M10" s="55"/>
    </row>
    <row r="11" spans="1:16" x14ac:dyDescent="0.35">
      <c r="A11" s="59" t="s">
        <v>181</v>
      </c>
      <c r="B11" s="60">
        <v>45662</v>
      </c>
      <c r="C11" s="54">
        <v>100.00000000000003</v>
      </c>
      <c r="D11" s="54">
        <v>100.00000000000003</v>
      </c>
    </row>
    <row r="12" spans="1:16" x14ac:dyDescent="0.35">
      <c r="A12" s="59" t="s">
        <v>181</v>
      </c>
      <c r="B12" s="60">
        <v>45669</v>
      </c>
      <c r="C12" s="54">
        <v>102.41073360510647</v>
      </c>
      <c r="D12" s="54">
        <v>102.41073360510647</v>
      </c>
    </row>
    <row r="13" spans="1:16" x14ac:dyDescent="0.35">
      <c r="A13" s="59" t="s">
        <v>181</v>
      </c>
      <c r="B13" s="60">
        <v>45676</v>
      </c>
      <c r="C13" s="54">
        <v>104.78631328575116</v>
      </c>
      <c r="D13" s="54">
        <v>104.78631328575116</v>
      </c>
    </row>
    <row r="14" spans="1:16" x14ac:dyDescent="0.35">
      <c r="A14" s="59" t="s">
        <v>181</v>
      </c>
      <c r="B14" s="60">
        <v>45683</v>
      </c>
      <c r="C14" s="54">
        <v>107.0920977408507</v>
      </c>
      <c r="D14" s="54">
        <v>107.0920977408507</v>
      </c>
    </row>
    <row r="15" spans="1:16" x14ac:dyDescent="0.35">
      <c r="A15" s="59" t="s">
        <v>181</v>
      </c>
      <c r="B15" s="60">
        <v>45690</v>
      </c>
      <c r="C15" s="54">
        <v>109.29446344087538</v>
      </c>
      <c r="D15" s="54">
        <v>109.29446344087538</v>
      </c>
    </row>
    <row r="16" spans="1:16" x14ac:dyDescent="0.35">
      <c r="A16" s="59" t="s">
        <v>181</v>
      </c>
      <c r="B16" s="60">
        <v>45697</v>
      </c>
      <c r="C16" s="54">
        <v>111.3612949346231</v>
      </c>
      <c r="D16" s="54">
        <v>111.3612949346231</v>
      </c>
    </row>
    <row r="17" spans="1:4" x14ac:dyDescent="0.35">
      <c r="A17" s="59" t="s">
        <v>181</v>
      </c>
      <c r="B17" s="60">
        <v>45704</v>
      </c>
      <c r="C17" s="54">
        <v>113.26245316481591</v>
      </c>
      <c r="D17" s="54">
        <v>113.26245316481591</v>
      </c>
    </row>
    <row r="18" spans="1:4" x14ac:dyDescent="0.35">
      <c r="A18" s="59" t="s">
        <v>181</v>
      </c>
      <c r="B18" s="60">
        <v>45711</v>
      </c>
      <c r="C18" s="54">
        <v>114.97021496342201</v>
      </c>
      <c r="D18" s="54">
        <v>114.97021496342201</v>
      </c>
    </row>
    <row r="19" spans="1:4" x14ac:dyDescent="0.35">
      <c r="A19" s="59" t="s">
        <v>181</v>
      </c>
      <c r="B19" s="60">
        <v>45718</v>
      </c>
      <c r="C19" s="54">
        <v>116.45967731787312</v>
      </c>
      <c r="D19" s="54">
        <v>116.45967731787312</v>
      </c>
    </row>
    <row r="20" spans="1:4" x14ac:dyDescent="0.35">
      <c r="A20" s="59" t="s">
        <v>181</v>
      </c>
      <c r="B20" s="60">
        <v>45725</v>
      </c>
      <c r="C20" s="54">
        <v>117.70912051306422</v>
      </c>
      <c r="D20" s="54">
        <v>117.70912051306422</v>
      </c>
    </row>
    <row r="21" spans="1:4" x14ac:dyDescent="0.35">
      <c r="A21" s="59" t="s">
        <v>181</v>
      </c>
      <c r="B21" s="60">
        <v>45732</v>
      </c>
      <c r="C21" s="54">
        <v>118.70032485370831</v>
      </c>
      <c r="D21" s="54">
        <v>118.70032485370831</v>
      </c>
    </row>
    <row r="22" spans="1:4" x14ac:dyDescent="0.35">
      <c r="A22" s="59" t="s">
        <v>181</v>
      </c>
      <c r="B22" s="60">
        <v>45739</v>
      </c>
      <c r="C22" s="54">
        <v>119.41883634852104</v>
      </c>
      <c r="D22" s="54">
        <v>119.41883634852104</v>
      </c>
    </row>
    <row r="23" spans="1:4" x14ac:dyDescent="0.35">
      <c r="A23" s="59" t="s">
        <v>181</v>
      </c>
      <c r="B23" s="60">
        <v>45746</v>
      </c>
      <c r="C23" s="54">
        <v>119.85417748196107</v>
      </c>
      <c r="D23" s="54">
        <v>119.85417748196107</v>
      </c>
    </row>
    <row r="24" spans="1:4" x14ac:dyDescent="0.35">
      <c r="A24" s="59" t="s">
        <v>181</v>
      </c>
      <c r="B24" s="60">
        <v>45753</v>
      </c>
      <c r="C24" s="54">
        <v>120.00000000000003</v>
      </c>
      <c r="D24" s="54">
        <v>120.00000000000003</v>
      </c>
    </row>
    <row r="25" spans="1:4" x14ac:dyDescent="0.35">
      <c r="A25" s="59" t="s">
        <v>181</v>
      </c>
      <c r="B25" s="60">
        <v>45760</v>
      </c>
      <c r="C25" s="54">
        <v>119.85417748196109</v>
      </c>
      <c r="D25" s="54">
        <v>119.85417748196109</v>
      </c>
    </row>
    <row r="26" spans="1:4" x14ac:dyDescent="0.35">
      <c r="A26" s="59" t="s">
        <v>181</v>
      </c>
      <c r="B26" s="60">
        <v>45767</v>
      </c>
      <c r="C26" s="54">
        <v>119.41883634852107</v>
      </c>
      <c r="D26" s="54">
        <v>119.41883634852107</v>
      </c>
    </row>
    <row r="27" spans="1:4" x14ac:dyDescent="0.35">
      <c r="A27" s="59" t="s">
        <v>181</v>
      </c>
      <c r="B27" s="60">
        <v>45774</v>
      </c>
      <c r="C27" s="54">
        <v>118.70032485370834</v>
      </c>
      <c r="D27" s="54">
        <v>118.70032485370834</v>
      </c>
    </row>
    <row r="28" spans="1:4" x14ac:dyDescent="0.35">
      <c r="A28" s="59" t="s">
        <v>181</v>
      </c>
      <c r="B28" s="60">
        <v>45781</v>
      </c>
      <c r="C28" s="54">
        <v>117.70912051306424</v>
      </c>
      <c r="D28" s="54">
        <v>117.70912051306424</v>
      </c>
    </row>
    <row r="29" spans="1:4" x14ac:dyDescent="0.35">
      <c r="A29" s="59" t="s">
        <v>181</v>
      </c>
      <c r="B29" s="60">
        <v>45788</v>
      </c>
      <c r="C29" s="54">
        <v>116.45967731787314</v>
      </c>
      <c r="D29" s="54">
        <v>116.45967731787314</v>
      </c>
    </row>
    <row r="30" spans="1:4" x14ac:dyDescent="0.35">
      <c r="A30" s="59" t="s">
        <v>181</v>
      </c>
      <c r="B30" s="60">
        <v>45795</v>
      </c>
      <c r="C30" s="54">
        <v>114.97021496342205</v>
      </c>
      <c r="D30" s="54">
        <v>114.97021496342205</v>
      </c>
    </row>
    <row r="31" spans="1:4" x14ac:dyDescent="0.35">
      <c r="A31" s="59" t="s">
        <v>181</v>
      </c>
      <c r="B31" s="60">
        <v>45802</v>
      </c>
      <c r="C31" s="54">
        <v>113.26245316481595</v>
      </c>
      <c r="D31" s="54">
        <v>113.26245316481595</v>
      </c>
    </row>
    <row r="32" spans="1:4" x14ac:dyDescent="0.35">
      <c r="A32" s="59" t="s">
        <v>181</v>
      </c>
      <c r="B32" s="60">
        <v>45809</v>
      </c>
      <c r="C32" s="54">
        <v>111.36129493462316</v>
      </c>
      <c r="D32" s="54">
        <v>111.36129493462316</v>
      </c>
    </row>
    <row r="33" spans="1:4" x14ac:dyDescent="0.35">
      <c r="A33" s="59" t="s">
        <v>181</v>
      </c>
      <c r="B33" s="60">
        <v>45816</v>
      </c>
      <c r="C33" s="54">
        <v>109.29446344087542</v>
      </c>
      <c r="D33" s="54">
        <v>109.29446344087542</v>
      </c>
    </row>
    <row r="34" spans="1:4" x14ac:dyDescent="0.35">
      <c r="A34" s="59" t="s">
        <v>181</v>
      </c>
      <c r="B34" s="60">
        <v>45823</v>
      </c>
      <c r="C34" s="54">
        <v>107.09209774085076</v>
      </c>
      <c r="D34" s="54">
        <v>107.09209774085076</v>
      </c>
    </row>
    <row r="35" spans="1:4" x14ac:dyDescent="0.35">
      <c r="A35" s="59" t="s">
        <v>181</v>
      </c>
      <c r="B35" s="60">
        <v>45830</v>
      </c>
      <c r="C35" s="54">
        <v>104.78631328575122</v>
      </c>
      <c r="D35" s="54">
        <v>104.78631328575122</v>
      </c>
    </row>
    <row r="36" spans="1:4" x14ac:dyDescent="0.35">
      <c r="A36" s="59" t="s">
        <v>181</v>
      </c>
      <c r="B36" s="60">
        <v>45837</v>
      </c>
      <c r="C36" s="54">
        <v>102.41073360510651</v>
      </c>
      <c r="D36" s="54">
        <v>102.41073360510651</v>
      </c>
    </row>
    <row r="37" spans="1:4" x14ac:dyDescent="0.35">
      <c r="A37" s="59" t="s">
        <v>182</v>
      </c>
      <c r="B37" s="60">
        <v>45662</v>
      </c>
      <c r="C37" s="54">
        <v>178.00180068982681</v>
      </c>
      <c r="D37" s="54">
        <v>178.00180068982681</v>
      </c>
    </row>
    <row r="38" spans="1:4" x14ac:dyDescent="0.35">
      <c r="A38" s="59" t="s">
        <v>182</v>
      </c>
      <c r="B38" s="60">
        <v>45669</v>
      </c>
      <c r="C38" s="54">
        <v>180.91662980275092</v>
      </c>
      <c r="D38" s="54">
        <v>180.91662980275092</v>
      </c>
    </row>
    <row r="39" spans="1:4" x14ac:dyDescent="0.35">
      <c r="A39" s="59" t="s">
        <v>182</v>
      </c>
      <c r="B39" s="60">
        <v>45676</v>
      </c>
      <c r="C39" s="54">
        <v>183.79705735091292</v>
      </c>
      <c r="D39" s="54">
        <v>183.79705735091292</v>
      </c>
    </row>
    <row r="40" spans="1:4" x14ac:dyDescent="0.35">
      <c r="A40" s="59" t="s">
        <v>182</v>
      </c>
      <c r="B40" s="60">
        <v>45683</v>
      </c>
      <c r="C40" s="54">
        <v>186.60869625903331</v>
      </c>
      <c r="D40" s="54">
        <v>186.60869625903331</v>
      </c>
    </row>
    <row r="41" spans="1:4" x14ac:dyDescent="0.35">
      <c r="A41" s="59" t="s">
        <v>182</v>
      </c>
      <c r="B41" s="60">
        <v>45690</v>
      </c>
      <c r="C41" s="54">
        <v>189.31760719579842</v>
      </c>
      <c r="D41" s="54">
        <v>189.31760719579842</v>
      </c>
    </row>
    <row r="42" spans="1:4" x14ac:dyDescent="0.35">
      <c r="A42" s="59" t="s">
        <v>182</v>
      </c>
      <c r="B42" s="60">
        <v>45697</v>
      </c>
      <c r="C42" s="54">
        <v>191.89137301053438</v>
      </c>
      <c r="D42" s="54">
        <v>191.89137301053438</v>
      </c>
    </row>
    <row r="43" spans="1:4" x14ac:dyDescent="0.35">
      <c r="A43" s="59" t="s">
        <v>182</v>
      </c>
      <c r="B43" s="60">
        <v>45704</v>
      </c>
      <c r="C43" s="54">
        <v>194.29947741417934</v>
      </c>
      <c r="D43" s="54">
        <v>194.29947741417934</v>
      </c>
    </row>
    <row r="44" spans="1:4" x14ac:dyDescent="0.35">
      <c r="A44" s="59" t="s">
        <v>182</v>
      </c>
      <c r="B44" s="60">
        <v>45711</v>
      </c>
      <c r="C44" s="54">
        <v>196.51377080034959</v>
      </c>
      <c r="D44" s="54">
        <v>196.51377080034959</v>
      </c>
    </row>
    <row r="45" spans="1:4" x14ac:dyDescent="0.35">
      <c r="A45" s="59" t="s">
        <v>182</v>
      </c>
      <c r="B45" s="60">
        <v>45718</v>
      </c>
      <c r="C45" s="54">
        <v>198.50930117425276</v>
      </c>
      <c r="D45" s="54">
        <v>198.50930117425276</v>
      </c>
    </row>
    <row r="46" spans="1:4" x14ac:dyDescent="0.35">
      <c r="A46" s="59" t="s">
        <v>182</v>
      </c>
      <c r="B46" s="60">
        <v>45725</v>
      </c>
      <c r="C46" s="54">
        <v>200.26470584832813</v>
      </c>
      <c r="D46" s="54">
        <v>200.26470584832813</v>
      </c>
    </row>
    <row r="47" spans="1:4" x14ac:dyDescent="0.35">
      <c r="A47" s="59" t="s">
        <v>182</v>
      </c>
      <c r="B47" s="60">
        <v>45732</v>
      </c>
      <c r="C47" s="54">
        <v>201.76212785897548</v>
      </c>
      <c r="D47" s="54">
        <v>201.76212785897548</v>
      </c>
    </row>
    <row r="48" spans="1:4" x14ac:dyDescent="0.35">
      <c r="A48" s="59" t="s">
        <v>182</v>
      </c>
      <c r="B48" s="60">
        <v>45739</v>
      </c>
      <c r="C48" s="54">
        <v>202.98826646552664</v>
      </c>
      <c r="D48" s="54">
        <v>202.98826646552664</v>
      </c>
    </row>
    <row r="49" spans="1:4" x14ac:dyDescent="0.35">
      <c r="A49" s="59" t="s">
        <v>182</v>
      </c>
      <c r="B49" s="60">
        <v>45746</v>
      </c>
      <c r="C49" s="54">
        <v>203.93284474332839</v>
      </c>
      <c r="D49" s="54">
        <v>203.93284474332839</v>
      </c>
    </row>
    <row r="50" spans="1:4" x14ac:dyDescent="0.35">
      <c r="A50" s="59" t="s">
        <v>182</v>
      </c>
      <c r="B50" s="60">
        <v>45753</v>
      </c>
      <c r="C50" s="54">
        <v>204.59036510065312</v>
      </c>
      <c r="D50" s="54">
        <v>204.59036510065312</v>
      </c>
    </row>
    <row r="51" spans="1:4" x14ac:dyDescent="0.35">
      <c r="A51" s="59" t="s">
        <v>182</v>
      </c>
      <c r="B51" s="60">
        <v>45760</v>
      </c>
      <c r="C51" s="54">
        <v>204.95848559316514</v>
      </c>
      <c r="D51" s="54">
        <v>204.95848559316514</v>
      </c>
    </row>
    <row r="52" spans="1:4" x14ac:dyDescent="0.35">
      <c r="A52" s="59" t="s">
        <v>182</v>
      </c>
      <c r="B52" s="60">
        <v>45767</v>
      </c>
      <c r="C52" s="54">
        <v>205.04005786844166</v>
      </c>
      <c r="D52" s="54">
        <v>205.04005786844166</v>
      </c>
    </row>
    <row r="53" spans="1:4" x14ac:dyDescent="0.35">
      <c r="A53" s="59" t="s">
        <v>182</v>
      </c>
      <c r="B53" s="60">
        <v>45774</v>
      </c>
      <c r="C53" s="54">
        <v>204.84141565105966</v>
      </c>
      <c r="D53" s="54">
        <v>204.84141565105966</v>
      </c>
    </row>
    <row r="54" spans="1:4" x14ac:dyDescent="0.35">
      <c r="A54" s="59" t="s">
        <v>182</v>
      </c>
      <c r="B54" s="60">
        <v>45781</v>
      </c>
      <c r="C54" s="54">
        <v>204.3730873265493</v>
      </c>
      <c r="D54" s="54">
        <v>204.3730873265493</v>
      </c>
    </row>
    <row r="55" spans="1:4" x14ac:dyDescent="0.35">
      <c r="A55" s="59" t="s">
        <v>182</v>
      </c>
      <c r="B55" s="60">
        <v>45788</v>
      </c>
      <c r="C55" s="54">
        <v>203.64841396218767</v>
      </c>
      <c r="D55" s="54">
        <v>203.64841396218767</v>
      </c>
    </row>
    <row r="56" spans="1:4" x14ac:dyDescent="0.35">
      <c r="A56" s="59" t="s">
        <v>182</v>
      </c>
      <c r="B56" s="60">
        <v>45795</v>
      </c>
      <c r="C56" s="54">
        <v>202.68426278325776</v>
      </c>
      <c r="D56" s="54">
        <v>202.68426278325776</v>
      </c>
    </row>
    <row r="57" spans="1:4" x14ac:dyDescent="0.35">
      <c r="A57" s="59" t="s">
        <v>182</v>
      </c>
      <c r="B57" s="60">
        <v>45802</v>
      </c>
      <c r="C57" s="54">
        <v>201.50090105096166</v>
      </c>
      <c r="D57" s="54">
        <v>201.50090105096166</v>
      </c>
    </row>
    <row r="58" spans="1:4" x14ac:dyDescent="0.35">
      <c r="A58" s="59" t="s">
        <v>182</v>
      </c>
      <c r="B58" s="60">
        <v>45809</v>
      </c>
      <c r="C58" s="54">
        <v>200.12190396907459</v>
      </c>
      <c r="D58" s="54">
        <v>200.12190396907459</v>
      </c>
    </row>
    <row r="59" spans="1:4" x14ac:dyDescent="0.35">
      <c r="A59" s="59" t="s">
        <v>182</v>
      </c>
      <c r="B59" s="60">
        <v>45816</v>
      </c>
      <c r="C59" s="54">
        <v>198.57386198898905</v>
      </c>
      <c r="D59" s="54">
        <v>198.57386198898905</v>
      </c>
    </row>
    <row r="60" spans="1:4" x14ac:dyDescent="0.35">
      <c r="A60" s="59" t="s">
        <v>182</v>
      </c>
      <c r="B60" s="60">
        <v>45823</v>
      </c>
      <c r="C60" s="54">
        <v>196.88562376273305</v>
      </c>
      <c r="D60" s="54">
        <v>196.88562376273305</v>
      </c>
    </row>
    <row r="61" spans="1:4" x14ac:dyDescent="0.35">
      <c r="A61" s="59" t="s">
        <v>182</v>
      </c>
      <c r="B61" s="60">
        <v>45830</v>
      </c>
      <c r="C61" s="54">
        <v>195.08832563086179</v>
      </c>
      <c r="D61" s="54">
        <v>195.08832563086179</v>
      </c>
    </row>
    <row r="62" spans="1:4" x14ac:dyDescent="0.35">
      <c r="A62" s="59" t="s">
        <v>182</v>
      </c>
      <c r="B62" s="60">
        <v>45837</v>
      </c>
      <c r="C62" s="54">
        <v>193.21529382004616</v>
      </c>
      <c r="D62" s="54">
        <v>193.21529382004616</v>
      </c>
    </row>
    <row r="63" spans="1:4" x14ac:dyDescent="0.35">
      <c r="A63" s="59" t="s">
        <v>183</v>
      </c>
      <c r="B63" s="60">
        <v>45662</v>
      </c>
      <c r="C63" s="54">
        <v>180.36894071536443</v>
      </c>
      <c r="D63" s="54">
        <v>180.36894071536443</v>
      </c>
    </row>
    <row r="64" spans="1:4" x14ac:dyDescent="0.35">
      <c r="A64" s="59" t="s">
        <v>183</v>
      </c>
      <c r="B64" s="60">
        <v>45669</v>
      </c>
      <c r="C64" s="54">
        <v>191.40637545174968</v>
      </c>
      <c r="D64" s="54">
        <v>191.40637545174968</v>
      </c>
    </row>
    <row r="65" spans="1:4" x14ac:dyDescent="0.35">
      <c r="A65" s="59" t="s">
        <v>183</v>
      </c>
      <c r="B65" s="60">
        <v>45676</v>
      </c>
      <c r="C65" s="54">
        <v>212.1980147378284</v>
      </c>
      <c r="D65" s="54">
        <v>212.1980147378284</v>
      </c>
    </row>
    <row r="66" spans="1:4" x14ac:dyDescent="0.35">
      <c r="A66" s="59" t="s">
        <v>183</v>
      </c>
      <c r="B66" s="60">
        <v>45683</v>
      </c>
      <c r="C66" s="54">
        <v>208.76379881230898</v>
      </c>
      <c r="D66" s="54">
        <v>208.76379881230898</v>
      </c>
    </row>
    <row r="67" spans="1:4" x14ac:dyDescent="0.35">
      <c r="A67" s="59" t="s">
        <v>183</v>
      </c>
      <c r="B67" s="60">
        <v>45690</v>
      </c>
      <c r="C67" s="54">
        <v>188.50154469612363</v>
      </c>
      <c r="D67" s="54">
        <v>188.50154469612363</v>
      </c>
    </row>
    <row r="68" spans="1:4" x14ac:dyDescent="0.35">
      <c r="A68" s="59" t="s">
        <v>183</v>
      </c>
      <c r="B68" s="60">
        <v>45697</v>
      </c>
      <c r="C68" s="54">
        <v>192.3886191121581</v>
      </c>
      <c r="D68" s="54">
        <v>192.3886191121581</v>
      </c>
    </row>
    <row r="69" spans="1:4" x14ac:dyDescent="0.35">
      <c r="A69" s="59" t="s">
        <v>183</v>
      </c>
      <c r="B69" s="60">
        <v>45704</v>
      </c>
      <c r="C69" s="54">
        <v>198.85293985881904</v>
      </c>
      <c r="D69" s="54">
        <v>198.85293985881904</v>
      </c>
    </row>
    <row r="70" spans="1:4" x14ac:dyDescent="0.35">
      <c r="A70" s="59" t="s">
        <v>183</v>
      </c>
      <c r="B70" s="60">
        <v>45711</v>
      </c>
      <c r="C70" s="54">
        <v>212.55934101821362</v>
      </c>
      <c r="D70" s="54">
        <v>212.55934101821362</v>
      </c>
    </row>
    <row r="71" spans="1:4" x14ac:dyDescent="0.35">
      <c r="A71" s="59" t="s">
        <v>183</v>
      </c>
      <c r="B71" s="60">
        <v>45718</v>
      </c>
      <c r="C71" s="54">
        <v>197.18291239924724</v>
      </c>
      <c r="D71" s="54">
        <v>197.18291239924724</v>
      </c>
    </row>
    <row r="72" spans="1:4" x14ac:dyDescent="0.35">
      <c r="A72" s="59" t="s">
        <v>183</v>
      </c>
      <c r="B72" s="60">
        <v>45725</v>
      </c>
      <c r="C72" s="54">
        <v>223.65613958143504</v>
      </c>
      <c r="D72" s="54">
        <v>223.65613958143504</v>
      </c>
    </row>
    <row r="73" spans="1:4" x14ac:dyDescent="0.35">
      <c r="A73" s="59" t="s">
        <v>183</v>
      </c>
      <c r="B73" s="60">
        <v>45732</v>
      </c>
      <c r="C73" s="54">
        <v>194.59892901966228</v>
      </c>
      <c r="D73" s="54">
        <v>194.59892901966228</v>
      </c>
    </row>
    <row r="74" spans="1:4" x14ac:dyDescent="0.35">
      <c r="A74" s="59" t="s">
        <v>183</v>
      </c>
      <c r="B74" s="60">
        <v>45739</v>
      </c>
      <c r="C74" s="54">
        <v>198.49567522217788</v>
      </c>
      <c r="D74" s="54">
        <v>198.49567522217788</v>
      </c>
    </row>
    <row r="75" spans="1:4" x14ac:dyDescent="0.35">
      <c r="A75" s="59" t="s">
        <v>183</v>
      </c>
      <c r="B75" s="60">
        <v>45746</v>
      </c>
      <c r="C75" s="54">
        <v>215.29869489320566</v>
      </c>
      <c r="D75" s="54">
        <v>215.29869489320566</v>
      </c>
    </row>
    <row r="76" spans="1:4" x14ac:dyDescent="0.35">
      <c r="A76" s="59" t="s">
        <v>183</v>
      </c>
      <c r="B76" s="60">
        <v>45753</v>
      </c>
      <c r="C76" s="54">
        <v>197.64142550259865</v>
      </c>
      <c r="D76" s="54">
        <v>197.64142550259865</v>
      </c>
    </row>
    <row r="77" spans="1:4" x14ac:dyDescent="0.35">
      <c r="A77" s="59" t="s">
        <v>183</v>
      </c>
      <c r="B77" s="60">
        <v>45760</v>
      </c>
      <c r="C77" s="54">
        <v>205.13967215239282</v>
      </c>
      <c r="D77" s="54">
        <v>205.13967215239282</v>
      </c>
    </row>
    <row r="78" spans="1:4" x14ac:dyDescent="0.35">
      <c r="A78" s="59" t="s">
        <v>183</v>
      </c>
      <c r="B78" s="60">
        <v>45767</v>
      </c>
      <c r="C78" s="54">
        <v>217.51959373208612</v>
      </c>
      <c r="D78" s="54">
        <v>217.51959373208612</v>
      </c>
    </row>
    <row r="79" spans="1:4" x14ac:dyDescent="0.35">
      <c r="A79" s="59" t="s">
        <v>183</v>
      </c>
      <c r="B79" s="60">
        <v>45774</v>
      </c>
      <c r="C79" s="54">
        <v>210.27870412368719</v>
      </c>
      <c r="D79" s="54">
        <v>210.27870412368719</v>
      </c>
    </row>
    <row r="80" spans="1:4" x14ac:dyDescent="0.35">
      <c r="A80" s="59" t="s">
        <v>183</v>
      </c>
      <c r="B80" s="60">
        <v>45781</v>
      </c>
      <c r="C80" s="54">
        <v>200.5867519801414</v>
      </c>
      <c r="D80" s="54">
        <v>200.5867519801414</v>
      </c>
    </row>
    <row r="81" spans="1:4" x14ac:dyDescent="0.35">
      <c r="A81" s="59" t="s">
        <v>183</v>
      </c>
      <c r="B81" s="60">
        <v>45788</v>
      </c>
      <c r="C81" s="54">
        <v>213.81366313756584</v>
      </c>
      <c r="D81" s="54">
        <v>213.81366313756584</v>
      </c>
    </row>
    <row r="82" spans="1:4" x14ac:dyDescent="0.35">
      <c r="A82" s="59" t="s">
        <v>183</v>
      </c>
      <c r="B82" s="60">
        <v>45795</v>
      </c>
      <c r="C82" s="54">
        <v>198.60891670275649</v>
      </c>
      <c r="D82" s="54">
        <v>198.60891670275649</v>
      </c>
    </row>
    <row r="83" spans="1:4" x14ac:dyDescent="0.35">
      <c r="A83" s="59" t="s">
        <v>183</v>
      </c>
      <c r="B83" s="60">
        <v>45802</v>
      </c>
      <c r="C83" s="54">
        <v>219.35296940028243</v>
      </c>
      <c r="D83" s="54">
        <v>219.35296940028243</v>
      </c>
    </row>
    <row r="84" spans="1:4" x14ac:dyDescent="0.35">
      <c r="A84" s="59" t="s">
        <v>183</v>
      </c>
      <c r="B84" s="60">
        <v>45809</v>
      </c>
      <c r="C84" s="54">
        <v>228.03637435345883</v>
      </c>
      <c r="D84" s="54">
        <v>228.03637435345883</v>
      </c>
    </row>
    <row r="85" spans="1:4" x14ac:dyDescent="0.35">
      <c r="A85" s="59" t="s">
        <v>183</v>
      </c>
      <c r="B85" s="60">
        <v>45816</v>
      </c>
      <c r="C85" s="54">
        <v>179.32206184570828</v>
      </c>
      <c r="D85" s="54">
        <v>179.32206184570828</v>
      </c>
    </row>
    <row r="86" spans="1:4" x14ac:dyDescent="0.35">
      <c r="A86" s="59" t="s">
        <v>183</v>
      </c>
      <c r="B86" s="60">
        <v>45823</v>
      </c>
      <c r="C86" s="54">
        <v>193.44391453195178</v>
      </c>
      <c r="D86" s="54">
        <v>193.44391453195178</v>
      </c>
    </row>
    <row r="87" spans="1:4" x14ac:dyDescent="0.35">
      <c r="A87" s="59" t="s">
        <v>183</v>
      </c>
      <c r="B87" s="60">
        <v>45830</v>
      </c>
      <c r="C87" s="54">
        <v>197.04785714203595</v>
      </c>
      <c r="D87" s="54">
        <v>197.04785714203595</v>
      </c>
    </row>
    <row r="88" spans="1:4" x14ac:dyDescent="0.35">
      <c r="A88" s="59" t="s">
        <v>183</v>
      </c>
      <c r="B88" s="60">
        <v>45837</v>
      </c>
      <c r="C88" s="54">
        <v>192.94641369528804</v>
      </c>
      <c r="D88" s="54">
        <v>192.94641369528804</v>
      </c>
    </row>
    <row r="89" spans="1:4" x14ac:dyDescent="0.35">
      <c r="A89" s="59" t="s">
        <v>184</v>
      </c>
      <c r="B89" s="60">
        <v>45662</v>
      </c>
      <c r="C89" s="54">
        <v>102.1606699896931</v>
      </c>
      <c r="D89" s="54">
        <v>102.1606699896931</v>
      </c>
    </row>
    <row r="90" spans="1:4" x14ac:dyDescent="0.35">
      <c r="A90" s="59" t="s">
        <v>184</v>
      </c>
      <c r="B90" s="60">
        <v>45669</v>
      </c>
      <c r="C90" s="54">
        <v>102.16652420090173</v>
      </c>
      <c r="D90" s="54">
        <v>102.16652420090173</v>
      </c>
    </row>
    <row r="91" spans="1:4" x14ac:dyDescent="0.35">
      <c r="A91" s="59" t="s">
        <v>184</v>
      </c>
      <c r="B91" s="60">
        <v>45676</v>
      </c>
      <c r="C91" s="54">
        <v>102.17134052502657</v>
      </c>
      <c r="D91" s="54">
        <v>102.17134052502657</v>
      </c>
    </row>
    <row r="92" spans="1:4" x14ac:dyDescent="0.35">
      <c r="A92" s="59" t="s">
        <v>184</v>
      </c>
      <c r="B92" s="60">
        <v>45683</v>
      </c>
      <c r="C92" s="54">
        <v>102.17613002710898</v>
      </c>
      <c r="D92" s="54">
        <v>102.17613002710898</v>
      </c>
    </row>
    <row r="93" spans="1:4" x14ac:dyDescent="0.35">
      <c r="A93" s="59" t="s">
        <v>184</v>
      </c>
      <c r="B93" s="60">
        <v>45690</v>
      </c>
      <c r="C93" s="54">
        <v>102.17841452742478</v>
      </c>
      <c r="D93" s="54">
        <v>102.17841452742478</v>
      </c>
    </row>
    <row r="94" spans="1:4" x14ac:dyDescent="0.35">
      <c r="A94" s="59" t="s">
        <v>184</v>
      </c>
      <c r="B94" s="60">
        <v>45697</v>
      </c>
      <c r="C94" s="54">
        <v>102.18607684110169</v>
      </c>
      <c r="D94" s="54">
        <v>102.18607684110169</v>
      </c>
    </row>
    <row r="95" spans="1:4" x14ac:dyDescent="0.35">
      <c r="A95" s="59" t="s">
        <v>184</v>
      </c>
      <c r="B95" s="60">
        <v>45704</v>
      </c>
      <c r="C95" s="54">
        <v>102.23584099241447</v>
      </c>
      <c r="D95" s="54">
        <v>102.23584099241447</v>
      </c>
    </row>
    <row r="96" spans="1:4" x14ac:dyDescent="0.35">
      <c r="A96" s="59" t="s">
        <v>184</v>
      </c>
      <c r="B96" s="60">
        <v>45711</v>
      </c>
      <c r="C96" s="54">
        <v>102.18615491791191</v>
      </c>
      <c r="D96" s="54">
        <v>102.18615491791191</v>
      </c>
    </row>
    <row r="97" spans="1:4" x14ac:dyDescent="0.35">
      <c r="A97" s="59" t="s">
        <v>184</v>
      </c>
      <c r="B97" s="60">
        <v>45718</v>
      </c>
      <c r="C97" s="54">
        <v>102.22366705929876</v>
      </c>
      <c r="D97" s="54">
        <v>102.22366705929876</v>
      </c>
    </row>
    <row r="98" spans="1:4" x14ac:dyDescent="0.35">
      <c r="A98" s="59" t="s">
        <v>184</v>
      </c>
      <c r="B98" s="60">
        <v>45725</v>
      </c>
      <c r="C98" s="54">
        <v>102.27642819432702</v>
      </c>
      <c r="D98" s="54">
        <v>102.27642819432702</v>
      </c>
    </row>
    <row r="99" spans="1:4" x14ac:dyDescent="0.35">
      <c r="A99" s="59" t="s">
        <v>184</v>
      </c>
      <c r="B99" s="60">
        <v>45732</v>
      </c>
      <c r="C99" s="54">
        <v>102.3242675376423</v>
      </c>
      <c r="D99" s="54">
        <v>102.3242675376423</v>
      </c>
    </row>
    <row r="100" spans="1:4" x14ac:dyDescent="0.35">
      <c r="A100" s="59" t="s">
        <v>184</v>
      </c>
      <c r="B100" s="60">
        <v>45739</v>
      </c>
      <c r="C100" s="54">
        <v>103.7719763810578</v>
      </c>
      <c r="D100" s="54">
        <v>103.7719763810578</v>
      </c>
    </row>
    <row r="101" spans="1:4" x14ac:dyDescent="0.35">
      <c r="A101" s="59" t="s">
        <v>184</v>
      </c>
      <c r="B101" s="60">
        <v>45746</v>
      </c>
      <c r="C101" s="54">
        <v>103.94430197245691</v>
      </c>
      <c r="D101" s="54">
        <v>103.94430197245691</v>
      </c>
    </row>
    <row r="102" spans="1:4" x14ac:dyDescent="0.35">
      <c r="A102" s="59" t="s">
        <v>184</v>
      </c>
      <c r="B102" s="60">
        <v>45753</v>
      </c>
      <c r="C102" s="54">
        <v>105.10799518610477</v>
      </c>
      <c r="D102" s="54">
        <v>105.10799518610477</v>
      </c>
    </row>
    <row r="103" spans="1:4" x14ac:dyDescent="0.35">
      <c r="A103" s="59" t="s">
        <v>184</v>
      </c>
      <c r="B103" s="60">
        <v>45760</v>
      </c>
      <c r="C103" s="54">
        <v>105.69588088562406</v>
      </c>
      <c r="D103" s="54">
        <v>105.69588088562406</v>
      </c>
    </row>
    <row r="104" spans="1:4" x14ac:dyDescent="0.35">
      <c r="A104" s="59" t="s">
        <v>184</v>
      </c>
      <c r="B104" s="60">
        <v>45767</v>
      </c>
      <c r="C104" s="54">
        <v>121.25430522553475</v>
      </c>
      <c r="D104" s="54">
        <v>121.25430522553475</v>
      </c>
    </row>
    <row r="105" spans="1:4" x14ac:dyDescent="0.35">
      <c r="A105" s="59" t="s">
        <v>184</v>
      </c>
      <c r="B105" s="60">
        <v>45774</v>
      </c>
      <c r="C105" s="54">
        <v>117.18750996978955</v>
      </c>
      <c r="D105" s="54">
        <v>117.18750996978955</v>
      </c>
    </row>
    <row r="106" spans="1:4" x14ac:dyDescent="0.35">
      <c r="A106" s="59" t="s">
        <v>184</v>
      </c>
      <c r="B106" s="60">
        <v>45781</v>
      </c>
      <c r="C106" s="54">
        <v>118.13202624683875</v>
      </c>
      <c r="D106" s="54">
        <v>118.13202624683875</v>
      </c>
    </row>
    <row r="107" spans="1:4" x14ac:dyDescent="0.35">
      <c r="A107" s="59" t="s">
        <v>184</v>
      </c>
      <c r="B107" s="60">
        <v>45788</v>
      </c>
      <c r="C107" s="54">
        <v>121.68692047978173</v>
      </c>
      <c r="D107" s="54">
        <v>121.68692047978173</v>
      </c>
    </row>
    <row r="108" spans="1:4" x14ac:dyDescent="0.35">
      <c r="A108" s="59" t="s">
        <v>184</v>
      </c>
      <c r="B108" s="60">
        <v>45795</v>
      </c>
      <c r="C108" s="54">
        <v>129.72613061113665</v>
      </c>
      <c r="D108" s="54">
        <v>129.72613061113665</v>
      </c>
    </row>
    <row r="109" spans="1:4" x14ac:dyDescent="0.35">
      <c r="A109" s="59" t="s">
        <v>184</v>
      </c>
      <c r="B109" s="60">
        <v>45802</v>
      </c>
      <c r="C109" s="54">
        <v>126.22821432808573</v>
      </c>
      <c r="D109" s="54">
        <v>126.22821432808573</v>
      </c>
    </row>
    <row r="110" spans="1:4" x14ac:dyDescent="0.35">
      <c r="A110" s="59" t="s">
        <v>184</v>
      </c>
      <c r="B110" s="60">
        <v>45809</v>
      </c>
      <c r="C110" s="54">
        <v>121.96653009907016</v>
      </c>
      <c r="D110" s="54">
        <v>121.96653009907016</v>
      </c>
    </row>
    <row r="111" spans="1:4" x14ac:dyDescent="0.35">
      <c r="A111" s="59" t="s">
        <v>184</v>
      </c>
      <c r="B111" s="60">
        <v>45816</v>
      </c>
      <c r="C111" s="54">
        <v>114.34435544722835</v>
      </c>
      <c r="D111" s="54">
        <v>114.34435544722835</v>
      </c>
    </row>
    <row r="112" spans="1:4" x14ac:dyDescent="0.35">
      <c r="A112" s="59" t="s">
        <v>184</v>
      </c>
      <c r="B112" s="60">
        <v>45823</v>
      </c>
      <c r="C112" s="54">
        <v>131.16663397761536</v>
      </c>
      <c r="D112" s="54">
        <v>131.16663397761536</v>
      </c>
    </row>
    <row r="113" spans="1:4" x14ac:dyDescent="0.35">
      <c r="A113" s="59" t="s">
        <v>184</v>
      </c>
      <c r="B113" s="60">
        <v>45830</v>
      </c>
      <c r="C113" s="54">
        <v>111.57594156421014</v>
      </c>
      <c r="D113" s="54">
        <v>111.57594156421014</v>
      </c>
    </row>
    <row r="114" spans="1:4" x14ac:dyDescent="0.35">
      <c r="A114" s="59" t="s">
        <v>184</v>
      </c>
      <c r="B114" s="60">
        <v>45837</v>
      </c>
      <c r="C114" s="54">
        <v>106.28008727132459</v>
      </c>
      <c r="D114" s="54">
        <v>106.28008727132459</v>
      </c>
    </row>
    <row r="115" spans="1:4" x14ac:dyDescent="0.35">
      <c r="A115" s="59" t="s">
        <v>185</v>
      </c>
      <c r="B115" s="60">
        <v>45662</v>
      </c>
      <c r="C115" s="54">
        <v>116.52203570208862</v>
      </c>
      <c r="D115" s="54">
        <v>116.52203570208862</v>
      </c>
    </row>
    <row r="116" spans="1:4" x14ac:dyDescent="0.35">
      <c r="A116" s="59" t="s">
        <v>185</v>
      </c>
      <c r="B116" s="60">
        <v>45669</v>
      </c>
      <c r="C116" s="54">
        <v>116.57741386868459</v>
      </c>
      <c r="D116" s="54">
        <v>116.57741386868459</v>
      </c>
    </row>
    <row r="117" spans="1:4" x14ac:dyDescent="0.35">
      <c r="A117" s="59" t="s">
        <v>185</v>
      </c>
      <c r="B117" s="60">
        <v>45676</v>
      </c>
      <c r="C117" s="54">
        <v>116.63402937597562</v>
      </c>
      <c r="D117" s="54">
        <v>116.63402937597562</v>
      </c>
    </row>
    <row r="118" spans="1:4" x14ac:dyDescent="0.35">
      <c r="A118" s="59" t="s">
        <v>185</v>
      </c>
      <c r="B118" s="60">
        <v>45683</v>
      </c>
      <c r="C118" s="54">
        <v>116.69281400390024</v>
      </c>
      <c r="D118" s="54">
        <v>116.69281400390024</v>
      </c>
    </row>
    <row r="119" spans="1:4" x14ac:dyDescent="0.35">
      <c r="A119" s="59" t="s">
        <v>185</v>
      </c>
      <c r="B119" s="60">
        <v>45690</v>
      </c>
      <c r="C119" s="54">
        <v>116.75110013037678</v>
      </c>
      <c r="D119" s="54">
        <v>116.75110013037678</v>
      </c>
    </row>
    <row r="120" spans="1:4" x14ac:dyDescent="0.35">
      <c r="A120" s="59" t="s">
        <v>185</v>
      </c>
      <c r="B120" s="60">
        <v>45697</v>
      </c>
      <c r="C120" s="54">
        <v>116.816938524447</v>
      </c>
      <c r="D120" s="54">
        <v>116.816938524447</v>
      </c>
    </row>
    <row r="121" spans="1:4" x14ac:dyDescent="0.35">
      <c r="A121" s="59" t="s">
        <v>185</v>
      </c>
      <c r="B121" s="60">
        <v>45704</v>
      </c>
      <c r="C121" s="54">
        <v>116.9270567674688</v>
      </c>
      <c r="D121" s="54">
        <v>116.9270567674688</v>
      </c>
    </row>
    <row r="122" spans="1:4" x14ac:dyDescent="0.35">
      <c r="A122" s="59" t="s">
        <v>185</v>
      </c>
      <c r="B122" s="60">
        <v>45711</v>
      </c>
      <c r="C122" s="54">
        <v>116.93977705639669</v>
      </c>
      <c r="D122" s="54">
        <v>116.93977705639669</v>
      </c>
    </row>
    <row r="123" spans="1:4" x14ac:dyDescent="0.35">
      <c r="A123" s="59" t="s">
        <v>185</v>
      </c>
      <c r="B123" s="60">
        <v>45718</v>
      </c>
      <c r="C123" s="54">
        <v>117.04190362172079</v>
      </c>
      <c r="D123" s="54">
        <v>117.04190362172079</v>
      </c>
    </row>
    <row r="124" spans="1:4" x14ac:dyDescent="0.35">
      <c r="A124" s="59" t="s">
        <v>185</v>
      </c>
      <c r="B124" s="60">
        <v>45725</v>
      </c>
      <c r="C124" s="54">
        <v>117.16154978484508</v>
      </c>
      <c r="D124" s="54">
        <v>117.16154978484508</v>
      </c>
    </row>
    <row r="125" spans="1:4" x14ac:dyDescent="0.35">
      <c r="A125" s="59" t="s">
        <v>185</v>
      </c>
      <c r="B125" s="60">
        <v>45732</v>
      </c>
      <c r="C125" s="54">
        <v>117.27836473740606</v>
      </c>
      <c r="D125" s="54">
        <v>117.27836473740606</v>
      </c>
    </row>
    <row r="126" spans="1:4" x14ac:dyDescent="0.35">
      <c r="A126" s="59" t="s">
        <v>185</v>
      </c>
      <c r="B126" s="60">
        <v>45739</v>
      </c>
      <c r="C126" s="54">
        <v>118.79678989209118</v>
      </c>
      <c r="D126" s="54">
        <v>118.79678989209118</v>
      </c>
    </row>
    <row r="127" spans="1:4" x14ac:dyDescent="0.35">
      <c r="A127" s="59" t="s">
        <v>185</v>
      </c>
      <c r="B127" s="60">
        <v>45746</v>
      </c>
      <c r="C127" s="54">
        <v>119.04210691472582</v>
      </c>
      <c r="D127" s="54">
        <v>119.04210691472582</v>
      </c>
    </row>
    <row r="128" spans="1:4" x14ac:dyDescent="0.35">
      <c r="A128" s="59" t="s">
        <v>185</v>
      </c>
      <c r="B128" s="60">
        <v>45753</v>
      </c>
      <c r="C128" s="54">
        <v>120.28162481581347</v>
      </c>
      <c r="D128" s="54">
        <v>120.28162481581347</v>
      </c>
    </row>
    <row r="129" spans="1:4" x14ac:dyDescent="0.35">
      <c r="A129" s="59" t="s">
        <v>185</v>
      </c>
      <c r="B129" s="60">
        <v>45760</v>
      </c>
      <c r="C129" s="54">
        <v>120.94635910650754</v>
      </c>
      <c r="D129" s="54">
        <v>120.94635910650754</v>
      </c>
    </row>
    <row r="130" spans="1:4" x14ac:dyDescent="0.35">
      <c r="A130" s="59" t="s">
        <v>185</v>
      </c>
      <c r="B130" s="60">
        <v>45767</v>
      </c>
      <c r="C130" s="54">
        <v>136.57978923120584</v>
      </c>
      <c r="D130" s="54">
        <v>136.57978923120584</v>
      </c>
    </row>
    <row r="131" spans="1:4" x14ac:dyDescent="0.35">
      <c r="A131" s="59" t="s">
        <v>185</v>
      </c>
      <c r="B131" s="60">
        <v>45774</v>
      </c>
      <c r="C131" s="54">
        <v>132.59147965027944</v>
      </c>
      <c r="D131" s="54">
        <v>132.59147965027944</v>
      </c>
    </row>
    <row r="132" spans="1:4" x14ac:dyDescent="0.35">
      <c r="A132" s="59" t="s">
        <v>185</v>
      </c>
      <c r="B132" s="60">
        <v>45781</v>
      </c>
      <c r="C132" s="54">
        <v>133.61679287531084</v>
      </c>
      <c r="D132" s="54">
        <v>133.61679287531084</v>
      </c>
    </row>
    <row r="133" spans="1:4" x14ac:dyDescent="0.35">
      <c r="A133" s="59" t="s">
        <v>185</v>
      </c>
      <c r="B133" s="60">
        <v>45788</v>
      </c>
      <c r="C133" s="54">
        <v>137.25503084334326</v>
      </c>
      <c r="D133" s="54">
        <v>137.25503084334326</v>
      </c>
    </row>
    <row r="134" spans="1:4" x14ac:dyDescent="0.35">
      <c r="A134" s="59" t="s">
        <v>185</v>
      </c>
      <c r="B134" s="60">
        <v>45795</v>
      </c>
      <c r="C134" s="54">
        <v>145.37903398930467</v>
      </c>
      <c r="D134" s="54">
        <v>145.37903398930467</v>
      </c>
    </row>
    <row r="135" spans="1:4" x14ac:dyDescent="0.35">
      <c r="A135" s="59" t="s">
        <v>185</v>
      </c>
      <c r="B135" s="60">
        <v>45802</v>
      </c>
      <c r="C135" s="54">
        <v>141.96835192908134</v>
      </c>
      <c r="D135" s="54">
        <v>141.96835192908134</v>
      </c>
    </row>
    <row r="136" spans="1:4" x14ac:dyDescent="0.35">
      <c r="A136" s="59" t="s">
        <v>185</v>
      </c>
      <c r="B136" s="60">
        <v>45809</v>
      </c>
      <c r="C136" s="54">
        <v>137.79488942713161</v>
      </c>
      <c r="D136" s="54">
        <v>137.79488942713161</v>
      </c>
    </row>
    <row r="137" spans="1:4" x14ac:dyDescent="0.35">
      <c r="A137" s="59" t="s">
        <v>185</v>
      </c>
      <c r="B137" s="60">
        <v>45816</v>
      </c>
      <c r="C137" s="54">
        <v>130.26079601820936</v>
      </c>
      <c r="D137" s="54">
        <v>130.26079601820936</v>
      </c>
    </row>
    <row r="138" spans="1:4" x14ac:dyDescent="0.35">
      <c r="A138" s="59" t="s">
        <v>185</v>
      </c>
      <c r="B138" s="60">
        <v>45823</v>
      </c>
      <c r="C138" s="54">
        <v>147.17573706372559</v>
      </c>
      <c r="D138" s="54">
        <v>147.17573706372559</v>
      </c>
    </row>
    <row r="139" spans="1:4" x14ac:dyDescent="0.35">
      <c r="A139" s="59" t="s">
        <v>185</v>
      </c>
      <c r="B139" s="60">
        <v>45830</v>
      </c>
      <c r="C139" s="54">
        <v>127.67652662439953</v>
      </c>
      <c r="D139" s="54">
        <v>127.67652662439953</v>
      </c>
    </row>
    <row r="140" spans="1:4" x14ac:dyDescent="0.35">
      <c r="A140" s="59" t="s">
        <v>185</v>
      </c>
      <c r="B140" s="60">
        <v>45837</v>
      </c>
      <c r="C140" s="54">
        <v>122.47787223941265</v>
      </c>
      <c r="D140" s="54">
        <v>122.47787223941265</v>
      </c>
    </row>
    <row r="141" spans="1:4" x14ac:dyDescent="0.35">
      <c r="A141" s="59" t="s">
        <v>186</v>
      </c>
      <c r="B141" s="60">
        <v>45662</v>
      </c>
      <c r="C141" s="54">
        <v>107.70431698398198</v>
      </c>
      <c r="D141" s="54">
        <v>107.70431698398198</v>
      </c>
    </row>
    <row r="142" spans="1:4" x14ac:dyDescent="0.35">
      <c r="A142" s="59" t="s">
        <v>186</v>
      </c>
      <c r="B142" s="60">
        <v>45669</v>
      </c>
      <c r="C142" s="54">
        <v>66.041721607044025</v>
      </c>
      <c r="D142" s="54">
        <v>66.041721607044025</v>
      </c>
    </row>
    <row r="143" spans="1:4" x14ac:dyDescent="0.35">
      <c r="A143" s="59" t="s">
        <v>186</v>
      </c>
      <c r="B143" s="60">
        <v>45676</v>
      </c>
      <c r="C143" s="54">
        <v>98.979849789032073</v>
      </c>
      <c r="D143" s="54">
        <v>98.979849789032073</v>
      </c>
    </row>
    <row r="144" spans="1:4" x14ac:dyDescent="0.35">
      <c r="A144" s="59" t="s">
        <v>186</v>
      </c>
      <c r="B144" s="60">
        <v>45683</v>
      </c>
      <c r="C144" s="54">
        <v>206.80347756912036</v>
      </c>
      <c r="D144" s="54">
        <v>206.80347756912036</v>
      </c>
    </row>
    <row r="145" spans="1:4" x14ac:dyDescent="0.35">
      <c r="A145" s="59" t="s">
        <v>186</v>
      </c>
      <c r="B145" s="60">
        <v>45690</v>
      </c>
      <c r="C145" s="54">
        <v>122.16377410822599</v>
      </c>
      <c r="D145" s="54">
        <v>122.16377410822599</v>
      </c>
    </row>
    <row r="146" spans="1:4" x14ac:dyDescent="0.35">
      <c r="A146" s="59" t="s">
        <v>186</v>
      </c>
      <c r="B146" s="60">
        <v>45697</v>
      </c>
      <c r="C146" s="54">
        <v>112.86450609326664</v>
      </c>
      <c r="D146" s="54">
        <v>112.86450609326664</v>
      </c>
    </row>
    <row r="147" spans="1:4" x14ac:dyDescent="0.35">
      <c r="A147" s="59" t="s">
        <v>186</v>
      </c>
      <c r="B147" s="60">
        <v>45704</v>
      </c>
      <c r="C147" s="54">
        <v>62.517080700515685</v>
      </c>
      <c r="D147" s="54">
        <v>62.517080700515685</v>
      </c>
    </row>
    <row r="148" spans="1:4" x14ac:dyDescent="0.35">
      <c r="A148" s="59" t="s">
        <v>186</v>
      </c>
      <c r="B148" s="60">
        <v>45711</v>
      </c>
      <c r="C148" s="54">
        <v>126.43224450227142</v>
      </c>
      <c r="D148" s="54">
        <v>126.43224450227142</v>
      </c>
    </row>
    <row r="149" spans="1:4" x14ac:dyDescent="0.35">
      <c r="A149" s="59" t="s">
        <v>186</v>
      </c>
      <c r="B149" s="60">
        <v>45718</v>
      </c>
      <c r="C149" s="54">
        <v>80.686848577983667</v>
      </c>
      <c r="D149" s="54">
        <v>80.686848577983667</v>
      </c>
    </row>
    <row r="150" spans="1:4" x14ac:dyDescent="0.35">
      <c r="A150" s="59" t="s">
        <v>186</v>
      </c>
      <c r="B150" s="60">
        <v>45725</v>
      </c>
      <c r="C150" s="54">
        <v>119.61657985134617</v>
      </c>
      <c r="D150" s="54">
        <v>119.61657985134617</v>
      </c>
    </row>
    <row r="151" spans="1:4" x14ac:dyDescent="0.35">
      <c r="A151" s="59" t="s">
        <v>186</v>
      </c>
      <c r="B151" s="60">
        <v>45732</v>
      </c>
      <c r="C151" s="54">
        <v>59.224409182287602</v>
      </c>
      <c r="D151" s="54">
        <v>59.224409182287602</v>
      </c>
    </row>
    <row r="152" spans="1:4" x14ac:dyDescent="0.35">
      <c r="A152" s="59" t="s">
        <v>186</v>
      </c>
      <c r="B152" s="60">
        <v>45739</v>
      </c>
      <c r="C152" s="54">
        <v>145.57274273913396</v>
      </c>
      <c r="D152" s="54">
        <v>145.57274273913396</v>
      </c>
    </row>
    <row r="153" spans="1:4" x14ac:dyDescent="0.35">
      <c r="A153" s="59" t="s">
        <v>186</v>
      </c>
      <c r="B153" s="60">
        <v>45746</v>
      </c>
      <c r="C153" s="54">
        <v>81.540449675917387</v>
      </c>
      <c r="D153" s="54">
        <v>81.540449675917387</v>
      </c>
    </row>
    <row r="154" spans="1:4" x14ac:dyDescent="0.35">
      <c r="A154" s="59" t="s">
        <v>186</v>
      </c>
      <c r="B154" s="60">
        <v>45753</v>
      </c>
      <c r="C154" s="54">
        <v>134.57217272044355</v>
      </c>
      <c r="D154" s="54">
        <v>134.57217272044355</v>
      </c>
    </row>
    <row r="155" spans="1:4" x14ac:dyDescent="0.35">
      <c r="A155" s="59" t="s">
        <v>186</v>
      </c>
      <c r="B155" s="60">
        <v>45760</v>
      </c>
      <c r="C155" s="54">
        <v>106.10128831790698</v>
      </c>
      <c r="D155" s="54">
        <v>106.10128831790698</v>
      </c>
    </row>
    <row r="156" spans="1:4" x14ac:dyDescent="0.35">
      <c r="A156" s="59" t="s">
        <v>186</v>
      </c>
      <c r="B156" s="60">
        <v>45767</v>
      </c>
      <c r="C156" s="54">
        <v>118.39036195049225</v>
      </c>
      <c r="D156" s="54">
        <v>118.39036195049225</v>
      </c>
    </row>
    <row r="157" spans="1:4" x14ac:dyDescent="0.35">
      <c r="A157" s="59" t="s">
        <v>186</v>
      </c>
      <c r="B157" s="60">
        <v>45774</v>
      </c>
      <c r="C157" s="54">
        <v>130.76540555551935</v>
      </c>
      <c r="D157" s="54">
        <v>130.76540555551935</v>
      </c>
    </row>
    <row r="158" spans="1:4" x14ac:dyDescent="0.35">
      <c r="A158" s="59" t="s">
        <v>186</v>
      </c>
      <c r="B158" s="60">
        <v>45781</v>
      </c>
      <c r="C158" s="54">
        <v>132.24061789746287</v>
      </c>
      <c r="D158" s="54">
        <v>132.24061789746287</v>
      </c>
    </row>
    <row r="159" spans="1:4" x14ac:dyDescent="0.35">
      <c r="A159" s="59" t="s">
        <v>186</v>
      </c>
      <c r="B159" s="60">
        <v>45788</v>
      </c>
      <c r="C159" s="54">
        <v>196.40941245185707</v>
      </c>
      <c r="D159" s="54">
        <v>196.40941245185707</v>
      </c>
    </row>
    <row r="160" spans="1:4" x14ac:dyDescent="0.35">
      <c r="A160" s="59" t="s">
        <v>186</v>
      </c>
      <c r="B160" s="60">
        <v>45795</v>
      </c>
      <c r="C160" s="54">
        <v>159.25274114000334</v>
      </c>
      <c r="D160" s="54">
        <v>159.25274114000334</v>
      </c>
    </row>
    <row r="161" spans="1:4" x14ac:dyDescent="0.35">
      <c r="A161" s="59" t="s">
        <v>186</v>
      </c>
      <c r="B161" s="60">
        <v>45802</v>
      </c>
      <c r="C161" s="54">
        <v>113.35920485629855</v>
      </c>
      <c r="D161" s="54">
        <v>113.35920485629855</v>
      </c>
    </row>
    <row r="162" spans="1:4" x14ac:dyDescent="0.35">
      <c r="A162" s="59" t="s">
        <v>186</v>
      </c>
      <c r="B162" s="60">
        <v>45809</v>
      </c>
      <c r="C162" s="54">
        <v>89.042272645791329</v>
      </c>
      <c r="D162" s="54">
        <v>89.042272645791329</v>
      </c>
    </row>
    <row r="163" spans="1:4" x14ac:dyDescent="0.35">
      <c r="A163" s="59" t="s">
        <v>186</v>
      </c>
      <c r="B163" s="60">
        <v>45816</v>
      </c>
      <c r="C163" s="54">
        <v>132.76600355010152</v>
      </c>
      <c r="D163" s="54">
        <v>132.76600355010152</v>
      </c>
    </row>
    <row r="164" spans="1:4" x14ac:dyDescent="0.35">
      <c r="A164" s="59" t="s">
        <v>186</v>
      </c>
      <c r="B164" s="60">
        <v>45823</v>
      </c>
      <c r="C164" s="54">
        <v>114.527613469128</v>
      </c>
      <c r="D164" s="54">
        <v>114.527613469128</v>
      </c>
    </row>
    <row r="165" spans="1:4" x14ac:dyDescent="0.35">
      <c r="A165" s="59" t="s">
        <v>186</v>
      </c>
      <c r="B165" s="60">
        <v>45830</v>
      </c>
      <c r="C165" s="54">
        <v>121.63418437587974</v>
      </c>
      <c r="D165" s="54">
        <v>121.63418437587974</v>
      </c>
    </row>
    <row r="166" spans="1:4" x14ac:dyDescent="0.35">
      <c r="A166" s="59" t="s">
        <v>186</v>
      </c>
      <c r="B166" s="60">
        <v>45837</v>
      </c>
      <c r="C166" s="54">
        <v>134.42549843209525</v>
      </c>
      <c r="D166" s="54">
        <v>134.42549843209525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22" r:id="rId5" name="Upd_Button">
              <controlPr defaultSize="0" print="0" autoFill="0" autoPict="0" macro="[0]!Upd_ets_forecast_data">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DAB8E-4BBF-43C8-96DB-8A2A8D27A8D1}">
  <sheetPr codeName="Sheet053">
    <tabColor rgb="FF2ECC71"/>
  </sheetPr>
  <dimension ref="A1:T1102"/>
  <sheetViews>
    <sheetView zoomScaleNormal="100" workbookViewId="0">
      <pane ySplit="10" topLeftCell="A11" activePane="bottomLeft" state="frozen"/>
      <selection activeCell="A10" sqref="A10"/>
      <selection pane="bottomLeft" activeCell="G11" sqref="G11:O1102"/>
    </sheetView>
  </sheetViews>
  <sheetFormatPr defaultColWidth="12.6328125" defaultRowHeight="14.5" x14ac:dyDescent="0.35"/>
  <cols>
    <col min="1" max="1" width="25.54296875" style="8" bestFit="1" customWidth="1"/>
    <col min="2" max="2" width="10.08984375" style="8" bestFit="1" customWidth="1"/>
    <col min="3" max="3" width="11.81640625" style="8" bestFit="1" customWidth="1"/>
    <col min="4" max="4" width="18.1796875" style="8" bestFit="1" customWidth="1"/>
    <col min="5" max="5" width="16.36328125" style="8" bestFit="1" customWidth="1"/>
    <col min="6" max="6" width="20.453125" style="8" bestFit="1" customWidth="1"/>
    <col min="7" max="7" width="16.81640625" style="8" bestFit="1" customWidth="1"/>
    <col min="8" max="8" width="10.36328125" style="8" bestFit="1" customWidth="1"/>
    <col min="9" max="9" width="11.81640625" style="8" bestFit="1" customWidth="1"/>
    <col min="10" max="10" width="10.08984375" style="8" bestFit="1" customWidth="1"/>
    <col min="11" max="11" width="16" style="8" bestFit="1" customWidth="1"/>
    <col min="12" max="12" width="10.81640625" style="8" bestFit="1" customWidth="1"/>
    <col min="13" max="13" width="13.81640625" style="8" bestFit="1" customWidth="1"/>
    <col min="14" max="14" width="20" style="8" bestFit="1" customWidth="1"/>
    <col min="15" max="15" width="19.90625" style="8" bestFit="1" customWidth="1"/>
    <col min="16" max="16384" width="12.6328125" style="8"/>
  </cols>
  <sheetData>
    <row r="1" spans="1:20" x14ac:dyDescent="0.35">
      <c r="A1" s="11" t="str">
        <f t="shared" ref="A1:Q1" si="0">SUBSTITUTE(ADDRESS(1,COLUMN(),4),"1","")</f>
        <v>A</v>
      </c>
      <c r="B1" s="11" t="str">
        <f t="shared" si="0"/>
        <v>B</v>
      </c>
      <c r="C1" s="11" t="str">
        <f t="shared" si="0"/>
        <v>C</v>
      </c>
      <c r="D1" s="11" t="str">
        <f t="shared" si="0"/>
        <v>D</v>
      </c>
      <c r="E1" s="11"/>
      <c r="F1" s="11"/>
      <c r="G1" s="11"/>
      <c r="H1" s="11" t="str">
        <f t="shared" si="0"/>
        <v>H</v>
      </c>
      <c r="I1" s="11" t="str">
        <f t="shared" si="0"/>
        <v>I</v>
      </c>
      <c r="J1" s="11" t="str">
        <f t="shared" si="0"/>
        <v>J</v>
      </c>
      <c r="K1" s="11"/>
      <c r="L1" s="11" t="str">
        <f t="shared" si="0"/>
        <v>L</v>
      </c>
      <c r="M1" s="11" t="str">
        <f t="shared" si="0"/>
        <v>M</v>
      </c>
      <c r="N1" s="11" t="str">
        <f t="shared" si="0"/>
        <v>N</v>
      </c>
      <c r="O1" s="11" t="str">
        <f t="shared" si="0"/>
        <v>O</v>
      </c>
      <c r="P1" s="11" t="str">
        <f t="shared" si="0"/>
        <v>P</v>
      </c>
      <c r="Q1" s="11" t="str">
        <f t="shared" si="0"/>
        <v>Q</v>
      </c>
      <c r="R1" s="11"/>
      <c r="S1" s="11"/>
      <c r="T1" s="11"/>
    </row>
    <row r="8" spans="1:20" ht="15" customHeight="1" x14ac:dyDescent="0.35">
      <c r="G8" s="8" t="e">
        <f>IF(ISBLANK(D8),AVERAGE(C1:C4),NA())</f>
        <v>#DIV/0!</v>
      </c>
      <c r="H8" s="8">
        <f>IF(A8=A7,H7,ROW())</f>
        <v>0</v>
      </c>
      <c r="I8" s="8" t="str">
        <f>IF(H8=ROW(),1,IF(ISBLANK(D8),"",I7+1))</f>
        <v/>
      </c>
      <c r="J8" s="8">
        <f>IF(I8="",J7,ROW())</f>
        <v>0</v>
      </c>
      <c r="K8" s="8">
        <f>ROW()-1</f>
        <v>7</v>
      </c>
      <c r="L8" s="8" t="e">
        <f>IF(ISBLANK(D8),_xlfn.FORECAST.ETS(B8,INDEX(C:C,H8):INDEX(C:C,J8),INDEX(B:B,H8):INDEX(B:B,J8),52),NA())</f>
        <v>#NUM!</v>
      </c>
      <c r="M8" s="8" t="e">
        <f>IF(ISBLANK($D8),ABS(L8-$E8),"")</f>
        <v>#NUM!</v>
      </c>
      <c r="N8" s="8">
        <f>IF(ISBLANK($D8),ABS(F8-$E8),"")</f>
        <v>0</v>
      </c>
      <c r="O8" s="8" t="e">
        <f>IF(ISBLANK($D8),ABS(G8-$E8),"")</f>
        <v>#DIV/0!</v>
      </c>
    </row>
    <row r="9" spans="1:20" ht="5.15" customHeight="1" x14ac:dyDescent="0.35"/>
    <row r="10" spans="1:20" s="13" customFormat="1" x14ac:dyDescent="0.35">
      <c r="A10" s="14" t="s">
        <v>148</v>
      </c>
      <c r="B10" s="14" t="s">
        <v>149</v>
      </c>
      <c r="C10" s="14" t="s">
        <v>150</v>
      </c>
      <c r="D10" s="14" t="s">
        <v>151</v>
      </c>
      <c r="E10" t="s">
        <v>160</v>
      </c>
      <c r="F10" t="s">
        <v>162</v>
      </c>
      <c r="G10" t="s">
        <v>176</v>
      </c>
      <c r="H10" s="14" t="s">
        <v>16</v>
      </c>
      <c r="I10" s="14" t="s">
        <v>155</v>
      </c>
      <c r="J10" s="14" t="s">
        <v>17</v>
      </c>
      <c r="K10" s="14" t="s">
        <v>180</v>
      </c>
      <c r="L10" s="14" t="s">
        <v>157</v>
      </c>
      <c r="M10" s="14" t="s">
        <v>164</v>
      </c>
      <c r="N10" s="14" t="s">
        <v>165</v>
      </c>
      <c r="O10" s="14" t="s">
        <v>177</v>
      </c>
      <c r="P10" s="14"/>
    </row>
    <row r="11" spans="1:20" x14ac:dyDescent="0.35">
      <c r="A11" s="59" t="s">
        <v>181</v>
      </c>
      <c r="B11" s="60">
        <v>44570</v>
      </c>
      <c r="C11" s="54">
        <v>100</v>
      </c>
      <c r="D11" s="54">
        <v>100</v>
      </c>
      <c r="E11"/>
      <c r="F11"/>
      <c r="G11" t="e">
        <v>#N/A</v>
      </c>
      <c r="H11" s="54">
        <v>11</v>
      </c>
      <c r="I11" s="54">
        <v>1</v>
      </c>
      <c r="J11" s="54">
        <v>11</v>
      </c>
      <c r="K11" s="54">
        <v>10</v>
      </c>
      <c r="L11" s="54" t="e">
        <v>#N/A</v>
      </c>
      <c r="M11" s="54" t="s">
        <v>156</v>
      </c>
      <c r="N11" s="54" t="s">
        <v>156</v>
      </c>
      <c r="O11" s="54" t="s">
        <v>156</v>
      </c>
    </row>
    <row r="12" spans="1:20" x14ac:dyDescent="0.35">
      <c r="A12" s="59" t="s">
        <v>181</v>
      </c>
      <c r="B12" s="60">
        <v>44577</v>
      </c>
      <c r="C12" s="54">
        <v>102.41073360510646</v>
      </c>
      <c r="D12" s="54">
        <v>102.41073360510646</v>
      </c>
      <c r="E12"/>
      <c r="F12"/>
      <c r="G12" t="e">
        <v>#N/A</v>
      </c>
      <c r="H12" s="54">
        <v>11</v>
      </c>
      <c r="I12" s="54">
        <v>2</v>
      </c>
      <c r="J12" s="54">
        <v>12</v>
      </c>
      <c r="K12" s="54">
        <v>11</v>
      </c>
      <c r="L12" s="54" t="e">
        <v>#N/A</v>
      </c>
      <c r="M12" s="54" t="s">
        <v>156</v>
      </c>
      <c r="N12" s="54" t="s">
        <v>156</v>
      </c>
      <c r="O12" s="54" t="s">
        <v>156</v>
      </c>
    </row>
    <row r="13" spans="1:20" x14ac:dyDescent="0.35">
      <c r="A13" s="59" t="s">
        <v>181</v>
      </c>
      <c r="B13" s="60">
        <v>44584</v>
      </c>
      <c r="C13" s="54">
        <v>104.78631328575115</v>
      </c>
      <c r="D13" s="54">
        <v>104.78631328575115</v>
      </c>
      <c r="E13"/>
      <c r="F13"/>
      <c r="G13" t="e">
        <v>#N/A</v>
      </c>
      <c r="H13" s="54">
        <v>11</v>
      </c>
      <c r="I13" s="54">
        <v>3</v>
      </c>
      <c r="J13" s="54">
        <v>13</v>
      </c>
      <c r="K13" s="54">
        <v>12</v>
      </c>
      <c r="L13" s="54" t="e">
        <v>#N/A</v>
      </c>
      <c r="M13" s="54" t="s">
        <v>156</v>
      </c>
      <c r="N13" s="54" t="s">
        <v>156</v>
      </c>
      <c r="O13" s="54" t="s">
        <v>156</v>
      </c>
    </row>
    <row r="14" spans="1:20" x14ac:dyDescent="0.35">
      <c r="A14" s="59" t="s">
        <v>181</v>
      </c>
      <c r="B14" s="60">
        <v>44591</v>
      </c>
      <c r="C14" s="54">
        <v>107.09209774085072</v>
      </c>
      <c r="D14" s="54">
        <v>107.09209774085072</v>
      </c>
      <c r="E14"/>
      <c r="F14"/>
      <c r="G14" t="e">
        <v>#N/A</v>
      </c>
      <c r="H14" s="54">
        <v>11</v>
      </c>
      <c r="I14" s="54">
        <v>4</v>
      </c>
      <c r="J14" s="54">
        <v>14</v>
      </c>
      <c r="K14" s="54">
        <v>13</v>
      </c>
      <c r="L14" s="54" t="e">
        <v>#N/A</v>
      </c>
      <c r="M14" s="54" t="s">
        <v>156</v>
      </c>
      <c r="N14" s="54" t="s">
        <v>156</v>
      </c>
      <c r="O14" s="54" t="s">
        <v>156</v>
      </c>
    </row>
    <row r="15" spans="1:20" x14ac:dyDescent="0.35">
      <c r="A15" s="59" t="s">
        <v>181</v>
      </c>
      <c r="B15" s="60">
        <v>44598</v>
      </c>
      <c r="C15" s="54">
        <v>109.29446344087538</v>
      </c>
      <c r="D15" s="54">
        <v>109.29446344087538</v>
      </c>
      <c r="E15"/>
      <c r="F15"/>
      <c r="G15" t="e">
        <v>#N/A</v>
      </c>
      <c r="H15" s="54">
        <v>11</v>
      </c>
      <c r="I15" s="54">
        <v>5</v>
      </c>
      <c r="J15" s="54">
        <v>15</v>
      </c>
      <c r="K15" s="54">
        <v>14</v>
      </c>
      <c r="L15" s="54" t="e">
        <v>#N/A</v>
      </c>
      <c r="M15" s="54" t="s">
        <v>156</v>
      </c>
      <c r="N15" s="54" t="s">
        <v>156</v>
      </c>
      <c r="O15" s="54" t="s">
        <v>156</v>
      </c>
    </row>
    <row r="16" spans="1:20" x14ac:dyDescent="0.35">
      <c r="A16" s="59" t="s">
        <v>181</v>
      </c>
      <c r="B16" s="60">
        <v>44605</v>
      </c>
      <c r="C16" s="54">
        <v>111.36129493462312</v>
      </c>
      <c r="D16" s="54">
        <v>111.36129493462312</v>
      </c>
      <c r="E16"/>
      <c r="F16"/>
      <c r="G16" t="e">
        <v>#N/A</v>
      </c>
      <c r="H16" s="54">
        <v>11</v>
      </c>
      <c r="I16" s="54">
        <v>6</v>
      </c>
      <c r="J16" s="54">
        <v>16</v>
      </c>
      <c r="K16" s="54">
        <v>15</v>
      </c>
      <c r="L16" s="54" t="e">
        <v>#N/A</v>
      </c>
      <c r="M16" s="54" t="s">
        <v>156</v>
      </c>
      <c r="N16" s="54" t="s">
        <v>156</v>
      </c>
      <c r="O16" s="54" t="s">
        <v>156</v>
      </c>
    </row>
    <row r="17" spans="1:15" x14ac:dyDescent="0.35">
      <c r="A17" s="59" t="s">
        <v>181</v>
      </c>
      <c r="B17" s="60">
        <v>44612</v>
      </c>
      <c r="C17" s="54">
        <v>113.26245316481591</v>
      </c>
      <c r="D17" s="54">
        <v>113.26245316481591</v>
      </c>
      <c r="E17"/>
      <c r="F17"/>
      <c r="G17" t="e">
        <v>#N/A</v>
      </c>
      <c r="H17" s="54">
        <v>11</v>
      </c>
      <c r="I17" s="54">
        <v>7</v>
      </c>
      <c r="J17" s="54">
        <v>17</v>
      </c>
      <c r="K17" s="54">
        <v>16</v>
      </c>
      <c r="L17" s="54" t="e">
        <v>#N/A</v>
      </c>
      <c r="M17" s="54" t="s">
        <v>156</v>
      </c>
      <c r="N17" s="54" t="s">
        <v>156</v>
      </c>
      <c r="O17" s="54" t="s">
        <v>156</v>
      </c>
    </row>
    <row r="18" spans="1:15" x14ac:dyDescent="0.35">
      <c r="A18" s="59" t="s">
        <v>181</v>
      </c>
      <c r="B18" s="60">
        <v>44619</v>
      </c>
      <c r="C18" s="54">
        <v>114.97021496342202</v>
      </c>
      <c r="D18" s="54">
        <v>114.97021496342202</v>
      </c>
      <c r="E18"/>
      <c r="F18"/>
      <c r="G18" t="e">
        <v>#N/A</v>
      </c>
      <c r="H18" s="54">
        <v>11</v>
      </c>
      <c r="I18" s="54">
        <v>8</v>
      </c>
      <c r="J18" s="54">
        <v>18</v>
      </c>
      <c r="K18" s="54">
        <v>17</v>
      </c>
      <c r="L18" s="54" t="e">
        <v>#N/A</v>
      </c>
      <c r="M18" s="54" t="s">
        <v>156</v>
      </c>
      <c r="N18" s="54" t="s">
        <v>156</v>
      </c>
      <c r="O18" s="54" t="s">
        <v>156</v>
      </c>
    </row>
    <row r="19" spans="1:15" x14ac:dyDescent="0.35">
      <c r="A19" s="59" t="s">
        <v>181</v>
      </c>
      <c r="B19" s="60">
        <v>44626</v>
      </c>
      <c r="C19" s="54">
        <v>116.45967731787313</v>
      </c>
      <c r="D19" s="54">
        <v>116.45967731787313</v>
      </c>
      <c r="E19"/>
      <c r="F19"/>
      <c r="G19" t="e">
        <v>#N/A</v>
      </c>
      <c r="H19" s="54">
        <v>11</v>
      </c>
      <c r="I19" s="54">
        <v>9</v>
      </c>
      <c r="J19" s="54">
        <v>19</v>
      </c>
      <c r="K19" s="54">
        <v>18</v>
      </c>
      <c r="L19" s="54" t="e">
        <v>#N/A</v>
      </c>
      <c r="M19" s="54" t="s">
        <v>156</v>
      </c>
      <c r="N19" s="54" t="s">
        <v>156</v>
      </c>
      <c r="O19" s="54" t="s">
        <v>156</v>
      </c>
    </row>
    <row r="20" spans="1:15" x14ac:dyDescent="0.35">
      <c r="A20" s="59" t="s">
        <v>181</v>
      </c>
      <c r="B20" s="60">
        <v>44633</v>
      </c>
      <c r="C20" s="54">
        <v>117.70912051306419</v>
      </c>
      <c r="D20" s="54">
        <v>117.70912051306419</v>
      </c>
      <c r="E20"/>
      <c r="F20"/>
      <c r="G20" t="e">
        <v>#N/A</v>
      </c>
      <c r="H20" s="54">
        <v>11</v>
      </c>
      <c r="I20" s="54">
        <v>10</v>
      </c>
      <c r="J20" s="54">
        <v>20</v>
      </c>
      <c r="K20" s="54">
        <v>19</v>
      </c>
      <c r="L20" s="54" t="e">
        <v>#N/A</v>
      </c>
      <c r="M20" s="54" t="s">
        <v>156</v>
      </c>
      <c r="N20" s="54" t="s">
        <v>156</v>
      </c>
      <c r="O20" s="54" t="s">
        <v>156</v>
      </c>
    </row>
    <row r="21" spans="1:15" x14ac:dyDescent="0.35">
      <c r="A21" s="59" t="s">
        <v>181</v>
      </c>
      <c r="B21" s="60">
        <v>44640</v>
      </c>
      <c r="C21" s="54">
        <v>118.7003248537083</v>
      </c>
      <c r="D21" s="54">
        <v>118.7003248537083</v>
      </c>
      <c r="E21"/>
      <c r="F21"/>
      <c r="G21" t="e">
        <v>#N/A</v>
      </c>
      <c r="H21" s="54">
        <v>11</v>
      </c>
      <c r="I21" s="54">
        <v>11</v>
      </c>
      <c r="J21" s="54">
        <v>21</v>
      </c>
      <c r="K21" s="54">
        <v>20</v>
      </c>
      <c r="L21" s="54" t="e">
        <v>#N/A</v>
      </c>
      <c r="M21" s="54" t="s">
        <v>156</v>
      </c>
      <c r="N21" s="54" t="s">
        <v>156</v>
      </c>
      <c r="O21" s="54" t="s">
        <v>156</v>
      </c>
    </row>
    <row r="22" spans="1:15" x14ac:dyDescent="0.35">
      <c r="A22" s="59" t="s">
        <v>181</v>
      </c>
      <c r="B22" s="60">
        <v>44647</v>
      </c>
      <c r="C22" s="54">
        <v>119.41883634852104</v>
      </c>
      <c r="D22" s="54">
        <v>119.41883634852104</v>
      </c>
      <c r="E22"/>
      <c r="F22"/>
      <c r="G22" t="e">
        <v>#N/A</v>
      </c>
      <c r="H22" s="54">
        <v>11</v>
      </c>
      <c r="I22" s="54">
        <v>12</v>
      </c>
      <c r="J22" s="54">
        <v>22</v>
      </c>
      <c r="K22" s="54">
        <v>21</v>
      </c>
      <c r="L22" s="54" t="e">
        <v>#N/A</v>
      </c>
      <c r="M22" s="54" t="s">
        <v>156</v>
      </c>
      <c r="N22" s="54" t="s">
        <v>156</v>
      </c>
      <c r="O22" s="54" t="s">
        <v>156</v>
      </c>
    </row>
    <row r="23" spans="1:15" x14ac:dyDescent="0.35">
      <c r="A23" s="59" t="s">
        <v>181</v>
      </c>
      <c r="B23" s="60">
        <v>44654</v>
      </c>
      <c r="C23" s="54">
        <v>119.85417748196107</v>
      </c>
      <c r="D23" s="54">
        <v>119.85417748196107</v>
      </c>
      <c r="E23"/>
      <c r="F23"/>
      <c r="G23" t="e">
        <v>#N/A</v>
      </c>
      <c r="H23" s="54">
        <v>11</v>
      </c>
      <c r="I23" s="54">
        <v>13</v>
      </c>
      <c r="J23" s="54">
        <v>23</v>
      </c>
      <c r="K23" s="54">
        <v>22</v>
      </c>
      <c r="L23" s="54" t="e">
        <v>#N/A</v>
      </c>
      <c r="M23" s="54" t="s">
        <v>156</v>
      </c>
      <c r="N23" s="54" t="s">
        <v>156</v>
      </c>
      <c r="O23" s="54" t="s">
        <v>156</v>
      </c>
    </row>
    <row r="24" spans="1:15" x14ac:dyDescent="0.35">
      <c r="A24" s="59" t="s">
        <v>181</v>
      </c>
      <c r="B24" s="60">
        <v>44661</v>
      </c>
      <c r="C24" s="54">
        <v>120</v>
      </c>
      <c r="D24" s="54">
        <v>120</v>
      </c>
      <c r="E24"/>
      <c r="F24"/>
      <c r="G24" t="e">
        <v>#N/A</v>
      </c>
      <c r="H24" s="54">
        <v>11</v>
      </c>
      <c r="I24" s="54">
        <v>14</v>
      </c>
      <c r="J24" s="54">
        <v>24</v>
      </c>
      <c r="K24" s="54">
        <v>23</v>
      </c>
      <c r="L24" s="54" t="e">
        <v>#N/A</v>
      </c>
      <c r="M24" s="54" t="s">
        <v>156</v>
      </c>
      <c r="N24" s="54" t="s">
        <v>156</v>
      </c>
      <c r="O24" s="54" t="s">
        <v>156</v>
      </c>
    </row>
    <row r="25" spans="1:15" x14ac:dyDescent="0.35">
      <c r="A25" s="59" t="s">
        <v>181</v>
      </c>
      <c r="B25" s="60">
        <v>44668</v>
      </c>
      <c r="C25" s="54">
        <v>119.85417748196107</v>
      </c>
      <c r="D25" s="54">
        <v>119.85417748196107</v>
      </c>
      <c r="E25"/>
      <c r="F25"/>
      <c r="G25" t="e">
        <v>#N/A</v>
      </c>
      <c r="H25" s="54">
        <v>11</v>
      </c>
      <c r="I25" s="54">
        <v>15</v>
      </c>
      <c r="J25" s="54">
        <v>25</v>
      </c>
      <c r="K25" s="54">
        <v>24</v>
      </c>
      <c r="L25" s="54" t="e">
        <v>#N/A</v>
      </c>
      <c r="M25" s="54" t="s">
        <v>156</v>
      </c>
      <c r="N25" s="54" t="s">
        <v>156</v>
      </c>
      <c r="O25" s="54" t="s">
        <v>156</v>
      </c>
    </row>
    <row r="26" spans="1:15" x14ac:dyDescent="0.35">
      <c r="A26" s="59" t="s">
        <v>181</v>
      </c>
      <c r="B26" s="60">
        <v>44675</v>
      </c>
      <c r="C26" s="54">
        <v>119.41883634852104</v>
      </c>
      <c r="D26" s="54">
        <v>119.41883634852104</v>
      </c>
      <c r="E26"/>
      <c r="F26"/>
      <c r="G26" t="e">
        <v>#N/A</v>
      </c>
      <c r="H26" s="54">
        <v>11</v>
      </c>
      <c r="I26" s="54">
        <v>16</v>
      </c>
      <c r="J26" s="54">
        <v>26</v>
      </c>
      <c r="K26" s="54">
        <v>25</v>
      </c>
      <c r="L26" s="54" t="e">
        <v>#N/A</v>
      </c>
      <c r="M26" s="54" t="s">
        <v>156</v>
      </c>
      <c r="N26" s="54" t="s">
        <v>156</v>
      </c>
      <c r="O26" s="54" t="s">
        <v>156</v>
      </c>
    </row>
    <row r="27" spans="1:15" x14ac:dyDescent="0.35">
      <c r="A27" s="59" t="s">
        <v>181</v>
      </c>
      <c r="B27" s="60">
        <v>44682</v>
      </c>
      <c r="C27" s="54">
        <v>118.7003248537083</v>
      </c>
      <c r="D27" s="54">
        <v>118.7003248537083</v>
      </c>
      <c r="E27"/>
      <c r="F27"/>
      <c r="G27" t="e">
        <v>#N/A</v>
      </c>
      <c r="H27" s="54">
        <v>11</v>
      </c>
      <c r="I27" s="54">
        <v>17</v>
      </c>
      <c r="J27" s="54">
        <v>27</v>
      </c>
      <c r="K27" s="54">
        <v>26</v>
      </c>
      <c r="L27" s="54" t="e">
        <v>#N/A</v>
      </c>
      <c r="M27" s="54" t="s">
        <v>156</v>
      </c>
      <c r="N27" s="54" t="s">
        <v>156</v>
      </c>
      <c r="O27" s="54" t="s">
        <v>156</v>
      </c>
    </row>
    <row r="28" spans="1:15" x14ac:dyDescent="0.35">
      <c r="A28" s="59" t="s">
        <v>181</v>
      </c>
      <c r="B28" s="60">
        <v>44689</v>
      </c>
      <c r="C28" s="54">
        <v>117.70912051306419</v>
      </c>
      <c r="D28" s="54">
        <v>117.70912051306419</v>
      </c>
      <c r="E28"/>
      <c r="F28"/>
      <c r="G28" t="e">
        <v>#N/A</v>
      </c>
      <c r="H28" s="54">
        <v>11</v>
      </c>
      <c r="I28" s="54">
        <v>18</v>
      </c>
      <c r="J28" s="54">
        <v>28</v>
      </c>
      <c r="K28" s="54">
        <v>27</v>
      </c>
      <c r="L28" s="54" t="e">
        <v>#N/A</v>
      </c>
      <c r="M28" s="54" t="s">
        <v>156</v>
      </c>
      <c r="N28" s="54" t="s">
        <v>156</v>
      </c>
      <c r="O28" s="54" t="s">
        <v>156</v>
      </c>
    </row>
    <row r="29" spans="1:15" x14ac:dyDescent="0.35">
      <c r="A29" s="59" t="s">
        <v>181</v>
      </c>
      <c r="B29" s="60">
        <v>44696</v>
      </c>
      <c r="C29" s="54">
        <v>116.45967731787313</v>
      </c>
      <c r="D29" s="54">
        <v>116.45967731787313</v>
      </c>
      <c r="E29"/>
      <c r="F29"/>
      <c r="G29" t="e">
        <v>#N/A</v>
      </c>
      <c r="H29" s="54">
        <v>11</v>
      </c>
      <c r="I29" s="54">
        <v>19</v>
      </c>
      <c r="J29" s="54">
        <v>29</v>
      </c>
      <c r="K29" s="54">
        <v>28</v>
      </c>
      <c r="L29" s="54" t="e">
        <v>#N/A</v>
      </c>
      <c r="M29" s="54" t="s">
        <v>156</v>
      </c>
      <c r="N29" s="54" t="s">
        <v>156</v>
      </c>
      <c r="O29" s="54" t="s">
        <v>156</v>
      </c>
    </row>
    <row r="30" spans="1:15" x14ac:dyDescent="0.35">
      <c r="A30" s="59" t="s">
        <v>181</v>
      </c>
      <c r="B30" s="60">
        <v>44703</v>
      </c>
      <c r="C30" s="54">
        <v>114.97021496342202</v>
      </c>
      <c r="D30" s="54">
        <v>114.97021496342202</v>
      </c>
      <c r="E30"/>
      <c r="F30"/>
      <c r="G30" t="e">
        <v>#N/A</v>
      </c>
      <c r="H30" s="54">
        <v>11</v>
      </c>
      <c r="I30" s="54">
        <v>20</v>
      </c>
      <c r="J30" s="54">
        <v>30</v>
      </c>
      <c r="K30" s="54">
        <v>29</v>
      </c>
      <c r="L30" s="54" t="e">
        <v>#N/A</v>
      </c>
      <c r="M30" s="54" t="s">
        <v>156</v>
      </c>
      <c r="N30" s="54" t="s">
        <v>156</v>
      </c>
      <c r="O30" s="54" t="s">
        <v>156</v>
      </c>
    </row>
    <row r="31" spans="1:15" x14ac:dyDescent="0.35">
      <c r="A31" s="59" t="s">
        <v>181</v>
      </c>
      <c r="B31" s="60">
        <v>44710</v>
      </c>
      <c r="C31" s="54">
        <v>113.26245316481591</v>
      </c>
      <c r="D31" s="54">
        <v>113.26245316481591</v>
      </c>
      <c r="E31"/>
      <c r="F31"/>
      <c r="G31" t="e">
        <v>#N/A</v>
      </c>
      <c r="H31" s="54">
        <v>11</v>
      </c>
      <c r="I31" s="54">
        <v>21</v>
      </c>
      <c r="J31" s="54">
        <v>31</v>
      </c>
      <c r="K31" s="54">
        <v>30</v>
      </c>
      <c r="L31" s="54" t="e">
        <v>#N/A</v>
      </c>
      <c r="M31" s="54" t="s">
        <v>156</v>
      </c>
      <c r="N31" s="54" t="s">
        <v>156</v>
      </c>
      <c r="O31" s="54" t="s">
        <v>156</v>
      </c>
    </row>
    <row r="32" spans="1:15" x14ac:dyDescent="0.35">
      <c r="A32" s="59" t="s">
        <v>181</v>
      </c>
      <c r="B32" s="60">
        <v>44717</v>
      </c>
      <c r="C32" s="54">
        <v>111.36129493462312</v>
      </c>
      <c r="D32" s="54">
        <v>111.36129493462312</v>
      </c>
      <c r="E32"/>
      <c r="F32"/>
      <c r="G32" t="e">
        <v>#N/A</v>
      </c>
      <c r="H32" s="54">
        <v>11</v>
      </c>
      <c r="I32" s="54">
        <v>22</v>
      </c>
      <c r="J32" s="54">
        <v>32</v>
      </c>
      <c r="K32" s="54">
        <v>31</v>
      </c>
      <c r="L32" s="54" t="e">
        <v>#N/A</v>
      </c>
      <c r="M32" s="54" t="s">
        <v>156</v>
      </c>
      <c r="N32" s="54" t="s">
        <v>156</v>
      </c>
      <c r="O32" s="54" t="s">
        <v>156</v>
      </c>
    </row>
    <row r="33" spans="1:15" x14ac:dyDescent="0.35">
      <c r="A33" s="59" t="s">
        <v>181</v>
      </c>
      <c r="B33" s="60">
        <v>44724</v>
      </c>
      <c r="C33" s="54">
        <v>109.29446344087538</v>
      </c>
      <c r="D33" s="54">
        <v>109.29446344087538</v>
      </c>
      <c r="E33"/>
      <c r="F33"/>
      <c r="G33" t="e">
        <v>#N/A</v>
      </c>
      <c r="H33" s="54">
        <v>11</v>
      </c>
      <c r="I33" s="54">
        <v>23</v>
      </c>
      <c r="J33" s="54">
        <v>33</v>
      </c>
      <c r="K33" s="54">
        <v>32</v>
      </c>
      <c r="L33" s="54" t="e">
        <v>#N/A</v>
      </c>
      <c r="M33" s="54" t="s">
        <v>156</v>
      </c>
      <c r="N33" s="54" t="s">
        <v>156</v>
      </c>
      <c r="O33" s="54" t="s">
        <v>156</v>
      </c>
    </row>
    <row r="34" spans="1:15" x14ac:dyDescent="0.35">
      <c r="A34" s="59" t="s">
        <v>181</v>
      </c>
      <c r="B34" s="60">
        <v>44731</v>
      </c>
      <c r="C34" s="54">
        <v>107.09209774085072</v>
      </c>
      <c r="D34" s="54">
        <v>107.09209774085072</v>
      </c>
      <c r="E34"/>
      <c r="F34"/>
      <c r="G34" t="e">
        <v>#N/A</v>
      </c>
      <c r="H34" s="54">
        <v>11</v>
      </c>
      <c r="I34" s="54">
        <v>24</v>
      </c>
      <c r="J34" s="54">
        <v>34</v>
      </c>
      <c r="K34" s="54">
        <v>33</v>
      </c>
      <c r="L34" s="54" t="e">
        <v>#N/A</v>
      </c>
      <c r="M34" s="54" t="s">
        <v>156</v>
      </c>
      <c r="N34" s="54" t="s">
        <v>156</v>
      </c>
      <c r="O34" s="54" t="s">
        <v>156</v>
      </c>
    </row>
    <row r="35" spans="1:15" x14ac:dyDescent="0.35">
      <c r="A35" s="59" t="s">
        <v>181</v>
      </c>
      <c r="B35" s="60">
        <v>44738</v>
      </c>
      <c r="C35" s="54">
        <v>104.78631328575115</v>
      </c>
      <c r="D35" s="54">
        <v>104.78631328575115</v>
      </c>
      <c r="E35"/>
      <c r="F35"/>
      <c r="G35" t="e">
        <v>#N/A</v>
      </c>
      <c r="H35" s="54">
        <v>11</v>
      </c>
      <c r="I35" s="54">
        <v>25</v>
      </c>
      <c r="J35" s="54">
        <v>35</v>
      </c>
      <c r="K35" s="54">
        <v>34</v>
      </c>
      <c r="L35" s="54" t="e">
        <v>#N/A</v>
      </c>
      <c r="M35" s="54" t="s">
        <v>156</v>
      </c>
      <c r="N35" s="54" t="s">
        <v>156</v>
      </c>
      <c r="O35" s="54" t="s">
        <v>156</v>
      </c>
    </row>
    <row r="36" spans="1:15" x14ac:dyDescent="0.35">
      <c r="A36" s="59" t="s">
        <v>181</v>
      </c>
      <c r="B36" s="60">
        <v>44745</v>
      </c>
      <c r="C36" s="54">
        <v>102.41073360510646</v>
      </c>
      <c r="D36" s="54">
        <v>102.41073360510646</v>
      </c>
      <c r="E36"/>
      <c r="F36"/>
      <c r="G36" t="e">
        <v>#N/A</v>
      </c>
      <c r="H36" s="54">
        <v>11</v>
      </c>
      <c r="I36" s="54">
        <v>26</v>
      </c>
      <c r="J36" s="54">
        <v>36</v>
      </c>
      <c r="K36" s="54">
        <v>35</v>
      </c>
      <c r="L36" s="54" t="e">
        <v>#N/A</v>
      </c>
      <c r="M36" s="54" t="s">
        <v>156</v>
      </c>
      <c r="N36" s="54" t="s">
        <v>156</v>
      </c>
      <c r="O36" s="54" t="s">
        <v>156</v>
      </c>
    </row>
    <row r="37" spans="1:15" x14ac:dyDescent="0.35">
      <c r="A37" s="59" t="s">
        <v>181</v>
      </c>
      <c r="B37" s="60">
        <v>44752</v>
      </c>
      <c r="C37" s="54">
        <v>100</v>
      </c>
      <c r="D37" s="54">
        <v>100</v>
      </c>
      <c r="E37"/>
      <c r="F37"/>
      <c r="G37" t="e">
        <v>#N/A</v>
      </c>
      <c r="H37" s="54">
        <v>11</v>
      </c>
      <c r="I37" s="54">
        <v>27</v>
      </c>
      <c r="J37" s="54">
        <v>37</v>
      </c>
      <c r="K37" s="54">
        <v>36</v>
      </c>
      <c r="L37" s="54" t="e">
        <v>#N/A</v>
      </c>
      <c r="M37" s="54" t="s">
        <v>156</v>
      </c>
      <c r="N37" s="54" t="s">
        <v>156</v>
      </c>
      <c r="O37" s="54" t="s">
        <v>156</v>
      </c>
    </row>
    <row r="38" spans="1:15" x14ac:dyDescent="0.35">
      <c r="A38" s="59" t="s">
        <v>181</v>
      </c>
      <c r="B38" s="60">
        <v>44759</v>
      </c>
      <c r="C38" s="54">
        <v>97.589266394893542</v>
      </c>
      <c r="D38" s="54">
        <v>97.589266394893542</v>
      </c>
      <c r="E38"/>
      <c r="F38"/>
      <c r="G38" t="e">
        <v>#N/A</v>
      </c>
      <c r="H38" s="54">
        <v>11</v>
      </c>
      <c r="I38" s="54">
        <v>28</v>
      </c>
      <c r="J38" s="54">
        <v>38</v>
      </c>
      <c r="K38" s="54">
        <v>37</v>
      </c>
      <c r="L38" s="54" t="e">
        <v>#N/A</v>
      </c>
      <c r="M38" s="54" t="s">
        <v>156</v>
      </c>
      <c r="N38" s="54" t="s">
        <v>156</v>
      </c>
      <c r="O38" s="54" t="s">
        <v>156</v>
      </c>
    </row>
    <row r="39" spans="1:15" x14ac:dyDescent="0.35">
      <c r="A39" s="59" t="s">
        <v>181</v>
      </c>
      <c r="B39" s="60">
        <v>44766</v>
      </c>
      <c r="C39" s="54">
        <v>95.213686714248851</v>
      </c>
      <c r="D39" s="54">
        <v>95.213686714248851</v>
      </c>
      <c r="E39"/>
      <c r="F39"/>
      <c r="G39" t="e">
        <v>#N/A</v>
      </c>
      <c r="H39" s="54">
        <v>11</v>
      </c>
      <c r="I39" s="54">
        <v>29</v>
      </c>
      <c r="J39" s="54">
        <v>39</v>
      </c>
      <c r="K39" s="54">
        <v>38</v>
      </c>
      <c r="L39" s="54" t="e">
        <v>#N/A</v>
      </c>
      <c r="M39" s="54" t="s">
        <v>156</v>
      </c>
      <c r="N39" s="54" t="s">
        <v>156</v>
      </c>
      <c r="O39" s="54" t="s">
        <v>156</v>
      </c>
    </row>
    <row r="40" spans="1:15" x14ac:dyDescent="0.35">
      <c r="A40" s="59" t="s">
        <v>181</v>
      </c>
      <c r="B40" s="60">
        <v>44773</v>
      </c>
      <c r="C40" s="54">
        <v>92.907902259149282</v>
      </c>
      <c r="D40" s="54">
        <v>92.907902259149282</v>
      </c>
      <c r="E40"/>
      <c r="F40"/>
      <c r="G40" t="e">
        <v>#N/A</v>
      </c>
      <c r="H40" s="54">
        <v>11</v>
      </c>
      <c r="I40" s="54">
        <v>30</v>
      </c>
      <c r="J40" s="54">
        <v>40</v>
      </c>
      <c r="K40" s="54">
        <v>39</v>
      </c>
      <c r="L40" s="54" t="e">
        <v>#N/A</v>
      </c>
      <c r="M40" s="54" t="s">
        <v>156</v>
      </c>
      <c r="N40" s="54" t="s">
        <v>156</v>
      </c>
      <c r="O40" s="54" t="s">
        <v>156</v>
      </c>
    </row>
    <row r="41" spans="1:15" x14ac:dyDescent="0.35">
      <c r="A41" s="59" t="s">
        <v>181</v>
      </c>
      <c r="B41" s="60">
        <v>44780</v>
      </c>
      <c r="C41" s="54">
        <v>90.705536559124639</v>
      </c>
      <c r="D41" s="54">
        <v>90.705536559124639</v>
      </c>
      <c r="E41"/>
      <c r="F41"/>
      <c r="G41" t="e">
        <v>#N/A</v>
      </c>
      <c r="H41" s="54">
        <v>11</v>
      </c>
      <c r="I41" s="54">
        <v>31</v>
      </c>
      <c r="J41" s="54">
        <v>41</v>
      </c>
      <c r="K41" s="54">
        <v>40</v>
      </c>
      <c r="L41" s="54" t="e">
        <v>#N/A</v>
      </c>
      <c r="M41" s="54" t="s">
        <v>156</v>
      </c>
      <c r="N41" s="54" t="s">
        <v>156</v>
      </c>
      <c r="O41" s="54" t="s">
        <v>156</v>
      </c>
    </row>
    <row r="42" spans="1:15" x14ac:dyDescent="0.35">
      <c r="A42" s="59" t="s">
        <v>181</v>
      </c>
      <c r="B42" s="60">
        <v>44787</v>
      </c>
      <c r="C42" s="54">
        <v>88.638705065376882</v>
      </c>
      <c r="D42" s="54">
        <v>88.638705065376882</v>
      </c>
      <c r="E42"/>
      <c r="F42"/>
      <c r="G42" t="e">
        <v>#N/A</v>
      </c>
      <c r="H42" s="54">
        <v>11</v>
      </c>
      <c r="I42" s="54">
        <v>32</v>
      </c>
      <c r="J42" s="54">
        <v>42</v>
      </c>
      <c r="K42" s="54">
        <v>41</v>
      </c>
      <c r="L42" s="54" t="e">
        <v>#N/A</v>
      </c>
      <c r="M42" s="54" t="s">
        <v>156</v>
      </c>
      <c r="N42" s="54" t="s">
        <v>156</v>
      </c>
      <c r="O42" s="54" t="s">
        <v>156</v>
      </c>
    </row>
    <row r="43" spans="1:15" x14ac:dyDescent="0.35">
      <c r="A43" s="59" t="s">
        <v>181</v>
      </c>
      <c r="B43" s="60">
        <v>44794</v>
      </c>
      <c r="C43" s="54">
        <v>86.737546835184105</v>
      </c>
      <c r="D43" s="54">
        <v>86.737546835184105</v>
      </c>
      <c r="E43"/>
      <c r="F43"/>
      <c r="G43" t="e">
        <v>#N/A</v>
      </c>
      <c r="H43" s="54">
        <v>11</v>
      </c>
      <c r="I43" s="54">
        <v>33</v>
      </c>
      <c r="J43" s="54">
        <v>43</v>
      </c>
      <c r="K43" s="54">
        <v>42</v>
      </c>
      <c r="L43" s="54" t="e">
        <v>#N/A</v>
      </c>
      <c r="M43" s="54" t="s">
        <v>156</v>
      </c>
      <c r="N43" s="54" t="s">
        <v>156</v>
      </c>
      <c r="O43" s="54" t="s">
        <v>156</v>
      </c>
    </row>
    <row r="44" spans="1:15" x14ac:dyDescent="0.35">
      <c r="A44" s="59" t="s">
        <v>181</v>
      </c>
      <c r="B44" s="60">
        <v>44801</v>
      </c>
      <c r="C44" s="54">
        <v>85.029785036577977</v>
      </c>
      <c r="D44" s="54">
        <v>85.029785036577977</v>
      </c>
      <c r="E44"/>
      <c r="F44"/>
      <c r="G44" t="e">
        <v>#N/A</v>
      </c>
      <c r="H44" s="54">
        <v>11</v>
      </c>
      <c r="I44" s="54">
        <v>34</v>
      </c>
      <c r="J44" s="54">
        <v>44</v>
      </c>
      <c r="K44" s="54">
        <v>43</v>
      </c>
      <c r="L44" s="54" t="e">
        <v>#N/A</v>
      </c>
      <c r="M44" s="54" t="s">
        <v>156</v>
      </c>
      <c r="N44" s="54" t="s">
        <v>156</v>
      </c>
      <c r="O44" s="54" t="s">
        <v>156</v>
      </c>
    </row>
    <row r="45" spans="1:15" x14ac:dyDescent="0.35">
      <c r="A45" s="59" t="s">
        <v>181</v>
      </c>
      <c r="B45" s="60">
        <v>44808</v>
      </c>
      <c r="C45" s="54">
        <v>83.54032268212687</v>
      </c>
      <c r="D45" s="54">
        <v>83.54032268212687</v>
      </c>
      <c r="E45"/>
      <c r="F45"/>
      <c r="G45" t="e">
        <v>#N/A</v>
      </c>
      <c r="H45" s="54">
        <v>11</v>
      </c>
      <c r="I45" s="54">
        <v>35</v>
      </c>
      <c r="J45" s="54">
        <v>45</v>
      </c>
      <c r="K45" s="54">
        <v>44</v>
      </c>
      <c r="L45" s="54" t="e">
        <v>#N/A</v>
      </c>
      <c r="M45" s="54" t="s">
        <v>156</v>
      </c>
      <c r="N45" s="54" t="s">
        <v>156</v>
      </c>
      <c r="O45" s="54" t="s">
        <v>156</v>
      </c>
    </row>
    <row r="46" spans="1:15" x14ac:dyDescent="0.35">
      <c r="A46" s="59" t="s">
        <v>181</v>
      </c>
      <c r="B46" s="60">
        <v>44815</v>
      </c>
      <c r="C46" s="54">
        <v>82.290879486935808</v>
      </c>
      <c r="D46" s="54">
        <v>82.290879486935808</v>
      </c>
      <c r="E46"/>
      <c r="F46"/>
      <c r="G46" t="e">
        <v>#N/A</v>
      </c>
      <c r="H46" s="54">
        <v>11</v>
      </c>
      <c r="I46" s="54">
        <v>36</v>
      </c>
      <c r="J46" s="54">
        <v>46</v>
      </c>
      <c r="K46" s="54">
        <v>45</v>
      </c>
      <c r="L46" s="54" t="e">
        <v>#N/A</v>
      </c>
      <c r="M46" s="54" t="s">
        <v>156</v>
      </c>
      <c r="N46" s="54" t="s">
        <v>156</v>
      </c>
      <c r="O46" s="54" t="s">
        <v>156</v>
      </c>
    </row>
    <row r="47" spans="1:15" x14ac:dyDescent="0.35">
      <c r="A47" s="59" t="s">
        <v>181</v>
      </c>
      <c r="B47" s="60">
        <v>44822</v>
      </c>
      <c r="C47" s="54">
        <v>81.299675146291705</v>
      </c>
      <c r="D47" s="54">
        <v>81.299675146291705</v>
      </c>
      <c r="E47"/>
      <c r="F47"/>
      <c r="G47" t="e">
        <v>#N/A</v>
      </c>
      <c r="H47" s="54">
        <v>11</v>
      </c>
      <c r="I47" s="54">
        <v>37</v>
      </c>
      <c r="J47" s="54">
        <v>47</v>
      </c>
      <c r="K47" s="54">
        <v>46</v>
      </c>
      <c r="L47" s="54" t="e">
        <v>#N/A</v>
      </c>
      <c r="M47" s="54" t="s">
        <v>156</v>
      </c>
      <c r="N47" s="54" t="s">
        <v>156</v>
      </c>
      <c r="O47" s="54" t="s">
        <v>156</v>
      </c>
    </row>
    <row r="48" spans="1:15" x14ac:dyDescent="0.35">
      <c r="A48" s="59" t="s">
        <v>181</v>
      </c>
      <c r="B48" s="60">
        <v>44829</v>
      </c>
      <c r="C48" s="54">
        <v>80.58116365147896</v>
      </c>
      <c r="D48" s="54">
        <v>80.58116365147896</v>
      </c>
      <c r="E48"/>
      <c r="F48"/>
      <c r="G48" t="e">
        <v>#N/A</v>
      </c>
      <c r="H48" s="54">
        <v>11</v>
      </c>
      <c r="I48" s="54">
        <v>38</v>
      </c>
      <c r="J48" s="54">
        <v>48</v>
      </c>
      <c r="K48" s="54">
        <v>47</v>
      </c>
      <c r="L48" s="54" t="e">
        <v>#N/A</v>
      </c>
      <c r="M48" s="54" t="s">
        <v>156</v>
      </c>
      <c r="N48" s="54" t="s">
        <v>156</v>
      </c>
      <c r="O48" s="54" t="s">
        <v>156</v>
      </c>
    </row>
    <row r="49" spans="1:15" x14ac:dyDescent="0.35">
      <c r="A49" s="59" t="s">
        <v>181</v>
      </c>
      <c r="B49" s="60">
        <v>44836</v>
      </c>
      <c r="C49" s="54">
        <v>80.145822518038926</v>
      </c>
      <c r="D49" s="54">
        <v>80.145822518038926</v>
      </c>
      <c r="E49"/>
      <c r="F49"/>
      <c r="G49" t="e">
        <v>#N/A</v>
      </c>
      <c r="H49" s="54">
        <v>11</v>
      </c>
      <c r="I49" s="54">
        <v>39</v>
      </c>
      <c r="J49" s="54">
        <v>49</v>
      </c>
      <c r="K49" s="54">
        <v>48</v>
      </c>
      <c r="L49" s="54" t="e">
        <v>#N/A</v>
      </c>
      <c r="M49" s="54" t="s">
        <v>156</v>
      </c>
      <c r="N49" s="54" t="s">
        <v>156</v>
      </c>
      <c r="O49" s="54" t="s">
        <v>156</v>
      </c>
    </row>
    <row r="50" spans="1:15" x14ac:dyDescent="0.35">
      <c r="A50" s="59" t="s">
        <v>181</v>
      </c>
      <c r="B50" s="60">
        <v>44843</v>
      </c>
      <c r="C50" s="54">
        <v>80</v>
      </c>
      <c r="D50" s="54">
        <v>80</v>
      </c>
      <c r="E50"/>
      <c r="F50"/>
      <c r="G50" t="e">
        <v>#N/A</v>
      </c>
      <c r="H50" s="54">
        <v>11</v>
      </c>
      <c r="I50" s="54">
        <v>40</v>
      </c>
      <c r="J50" s="54">
        <v>50</v>
      </c>
      <c r="K50" s="54">
        <v>49</v>
      </c>
      <c r="L50" s="54" t="e">
        <v>#N/A</v>
      </c>
      <c r="M50" s="54" t="s">
        <v>156</v>
      </c>
      <c r="N50" s="54" t="s">
        <v>156</v>
      </c>
      <c r="O50" s="54" t="s">
        <v>156</v>
      </c>
    </row>
    <row r="51" spans="1:15" x14ac:dyDescent="0.35">
      <c r="A51" s="59" t="s">
        <v>181</v>
      </c>
      <c r="B51" s="60">
        <v>44850</v>
      </c>
      <c r="C51" s="54">
        <v>80.145822518038926</v>
      </c>
      <c r="D51" s="54">
        <v>80.145822518038926</v>
      </c>
      <c r="E51"/>
      <c r="F51"/>
      <c r="G51" t="e">
        <v>#N/A</v>
      </c>
      <c r="H51" s="54">
        <v>11</v>
      </c>
      <c r="I51" s="54">
        <v>41</v>
      </c>
      <c r="J51" s="54">
        <v>51</v>
      </c>
      <c r="K51" s="54">
        <v>50</v>
      </c>
      <c r="L51" s="54" t="e">
        <v>#N/A</v>
      </c>
      <c r="M51" s="54" t="s">
        <v>156</v>
      </c>
      <c r="N51" s="54" t="s">
        <v>156</v>
      </c>
      <c r="O51" s="54" t="s">
        <v>156</v>
      </c>
    </row>
    <row r="52" spans="1:15" x14ac:dyDescent="0.35">
      <c r="A52" s="59" t="s">
        <v>181</v>
      </c>
      <c r="B52" s="60">
        <v>44857</v>
      </c>
      <c r="C52" s="54">
        <v>80.58116365147896</v>
      </c>
      <c r="D52" s="54">
        <v>80.58116365147896</v>
      </c>
      <c r="E52"/>
      <c r="F52"/>
      <c r="G52" t="e">
        <v>#N/A</v>
      </c>
      <c r="H52" s="54">
        <v>11</v>
      </c>
      <c r="I52" s="54">
        <v>42</v>
      </c>
      <c r="J52" s="54">
        <v>52</v>
      </c>
      <c r="K52" s="54">
        <v>51</v>
      </c>
      <c r="L52" s="54" t="e">
        <v>#N/A</v>
      </c>
      <c r="M52" s="54" t="s">
        <v>156</v>
      </c>
      <c r="N52" s="54" t="s">
        <v>156</v>
      </c>
      <c r="O52" s="54" t="s">
        <v>156</v>
      </c>
    </row>
    <row r="53" spans="1:15" x14ac:dyDescent="0.35">
      <c r="A53" s="59" t="s">
        <v>181</v>
      </c>
      <c r="B53" s="60">
        <v>44864</v>
      </c>
      <c r="C53" s="54">
        <v>81.299675146291705</v>
      </c>
      <c r="D53" s="54">
        <v>81.299675146291705</v>
      </c>
      <c r="E53"/>
      <c r="F53"/>
      <c r="G53" t="e">
        <v>#N/A</v>
      </c>
      <c r="H53" s="54">
        <v>11</v>
      </c>
      <c r="I53" s="54">
        <v>43</v>
      </c>
      <c r="J53" s="54">
        <v>53</v>
      </c>
      <c r="K53" s="54">
        <v>52</v>
      </c>
      <c r="L53" s="54" t="e">
        <v>#N/A</v>
      </c>
      <c r="M53" s="54" t="s">
        <v>156</v>
      </c>
      <c r="N53" s="54" t="s">
        <v>156</v>
      </c>
      <c r="O53" s="54" t="s">
        <v>156</v>
      </c>
    </row>
    <row r="54" spans="1:15" x14ac:dyDescent="0.35">
      <c r="A54" s="59" t="s">
        <v>181</v>
      </c>
      <c r="B54" s="60">
        <v>44871</v>
      </c>
      <c r="C54" s="54">
        <v>82.290879486935793</v>
      </c>
      <c r="D54" s="54">
        <v>82.290879486935793</v>
      </c>
      <c r="E54"/>
      <c r="F54"/>
      <c r="G54" t="e">
        <v>#N/A</v>
      </c>
      <c r="H54" s="54">
        <v>11</v>
      </c>
      <c r="I54" s="54">
        <v>44</v>
      </c>
      <c r="J54" s="54">
        <v>54</v>
      </c>
      <c r="K54" s="54">
        <v>53</v>
      </c>
      <c r="L54" s="54" t="e">
        <v>#N/A</v>
      </c>
      <c r="M54" s="54" t="s">
        <v>156</v>
      </c>
      <c r="N54" s="54" t="s">
        <v>156</v>
      </c>
      <c r="O54" s="54" t="s">
        <v>156</v>
      </c>
    </row>
    <row r="55" spans="1:15" x14ac:dyDescent="0.35">
      <c r="A55" s="59" t="s">
        <v>181</v>
      </c>
      <c r="B55" s="60">
        <v>44878</v>
      </c>
      <c r="C55" s="54">
        <v>83.540322682126856</v>
      </c>
      <c r="D55" s="54">
        <v>83.540322682126856</v>
      </c>
      <c r="E55"/>
      <c r="F55"/>
      <c r="G55" t="e">
        <v>#N/A</v>
      </c>
      <c r="H55" s="54">
        <v>11</v>
      </c>
      <c r="I55" s="54">
        <v>45</v>
      </c>
      <c r="J55" s="54">
        <v>55</v>
      </c>
      <c r="K55" s="54">
        <v>54</v>
      </c>
      <c r="L55" s="54" t="e">
        <v>#N/A</v>
      </c>
      <c r="M55" s="54" t="s">
        <v>156</v>
      </c>
      <c r="N55" s="54" t="s">
        <v>156</v>
      </c>
      <c r="O55" s="54" t="s">
        <v>156</v>
      </c>
    </row>
    <row r="56" spans="1:15" x14ac:dyDescent="0.35">
      <c r="A56" s="59" t="s">
        <v>181</v>
      </c>
      <c r="B56" s="60">
        <v>44885</v>
      </c>
      <c r="C56" s="54">
        <v>85.029785036577977</v>
      </c>
      <c r="D56" s="54">
        <v>85.029785036577977</v>
      </c>
      <c r="E56"/>
      <c r="F56"/>
      <c r="G56" t="e">
        <v>#N/A</v>
      </c>
      <c r="H56" s="54">
        <v>11</v>
      </c>
      <c r="I56" s="54">
        <v>46</v>
      </c>
      <c r="J56" s="54">
        <v>56</v>
      </c>
      <c r="K56" s="54">
        <v>55</v>
      </c>
      <c r="L56" s="54" t="e">
        <v>#N/A</v>
      </c>
      <c r="M56" s="54" t="s">
        <v>156</v>
      </c>
      <c r="N56" s="54" t="s">
        <v>156</v>
      </c>
      <c r="O56" s="54" t="s">
        <v>156</v>
      </c>
    </row>
    <row r="57" spans="1:15" x14ac:dyDescent="0.35">
      <c r="A57" s="59" t="s">
        <v>181</v>
      </c>
      <c r="B57" s="60">
        <v>44892</v>
      </c>
      <c r="C57" s="54">
        <v>86.737546835184091</v>
      </c>
      <c r="D57" s="54">
        <v>86.737546835184091</v>
      </c>
      <c r="E57"/>
      <c r="F57"/>
      <c r="G57" t="e">
        <v>#N/A</v>
      </c>
      <c r="H57" s="54">
        <v>11</v>
      </c>
      <c r="I57" s="54">
        <v>47</v>
      </c>
      <c r="J57" s="54">
        <v>57</v>
      </c>
      <c r="K57" s="54">
        <v>56</v>
      </c>
      <c r="L57" s="54" t="e">
        <v>#N/A</v>
      </c>
      <c r="M57" s="54" t="s">
        <v>156</v>
      </c>
      <c r="N57" s="54" t="s">
        <v>156</v>
      </c>
      <c r="O57" s="54" t="s">
        <v>156</v>
      </c>
    </row>
    <row r="58" spans="1:15" x14ac:dyDescent="0.35">
      <c r="A58" s="59" t="s">
        <v>181</v>
      </c>
      <c r="B58" s="60">
        <v>44899</v>
      </c>
      <c r="C58" s="54">
        <v>88.638705065376882</v>
      </c>
      <c r="D58" s="54">
        <v>88.638705065376882</v>
      </c>
      <c r="E58"/>
      <c r="F58"/>
      <c r="G58" t="e">
        <v>#N/A</v>
      </c>
      <c r="H58" s="54">
        <v>11</v>
      </c>
      <c r="I58" s="54">
        <v>48</v>
      </c>
      <c r="J58" s="54">
        <v>58</v>
      </c>
      <c r="K58" s="54">
        <v>57</v>
      </c>
      <c r="L58" s="54" t="e">
        <v>#N/A</v>
      </c>
      <c r="M58" s="54" t="s">
        <v>156</v>
      </c>
      <c r="N58" s="54" t="s">
        <v>156</v>
      </c>
      <c r="O58" s="54" t="s">
        <v>156</v>
      </c>
    </row>
    <row r="59" spans="1:15" x14ac:dyDescent="0.35">
      <c r="A59" s="59" t="s">
        <v>181</v>
      </c>
      <c r="B59" s="60">
        <v>44906</v>
      </c>
      <c r="C59" s="54">
        <v>90.705536559124624</v>
      </c>
      <c r="D59" s="54">
        <v>90.705536559124624</v>
      </c>
      <c r="E59"/>
      <c r="F59"/>
      <c r="G59" t="e">
        <v>#N/A</v>
      </c>
      <c r="H59" s="54">
        <v>11</v>
      </c>
      <c r="I59" s="54">
        <v>49</v>
      </c>
      <c r="J59" s="54">
        <v>59</v>
      </c>
      <c r="K59" s="54">
        <v>58</v>
      </c>
      <c r="L59" s="54" t="e">
        <v>#N/A</v>
      </c>
      <c r="M59" s="54" t="s">
        <v>156</v>
      </c>
      <c r="N59" s="54" t="s">
        <v>156</v>
      </c>
      <c r="O59" s="54" t="s">
        <v>156</v>
      </c>
    </row>
    <row r="60" spans="1:15" x14ac:dyDescent="0.35">
      <c r="A60" s="59" t="s">
        <v>181</v>
      </c>
      <c r="B60" s="60">
        <v>44913</v>
      </c>
      <c r="C60" s="54">
        <v>92.907902259149282</v>
      </c>
      <c r="D60" s="54">
        <v>92.907902259149282</v>
      </c>
      <c r="E60"/>
      <c r="F60"/>
      <c r="G60" t="e">
        <v>#N/A</v>
      </c>
      <c r="H60" s="54">
        <v>11</v>
      </c>
      <c r="I60" s="54">
        <v>50</v>
      </c>
      <c r="J60" s="54">
        <v>60</v>
      </c>
      <c r="K60" s="54">
        <v>59</v>
      </c>
      <c r="L60" s="54" t="e">
        <v>#N/A</v>
      </c>
      <c r="M60" s="54" t="s">
        <v>156</v>
      </c>
      <c r="N60" s="54" t="s">
        <v>156</v>
      </c>
      <c r="O60" s="54" t="s">
        <v>156</v>
      </c>
    </row>
    <row r="61" spans="1:15" x14ac:dyDescent="0.35">
      <c r="A61" s="59" t="s">
        <v>181</v>
      </c>
      <c r="B61" s="60">
        <v>44920</v>
      </c>
      <c r="C61" s="54">
        <v>95.213686714248837</v>
      </c>
      <c r="D61" s="54">
        <v>95.213686714248837</v>
      </c>
      <c r="E61"/>
      <c r="F61"/>
      <c r="G61" t="e">
        <v>#N/A</v>
      </c>
      <c r="H61" s="54">
        <v>11</v>
      </c>
      <c r="I61" s="54">
        <v>51</v>
      </c>
      <c r="J61" s="54">
        <v>61</v>
      </c>
      <c r="K61" s="54">
        <v>60</v>
      </c>
      <c r="L61" s="54" t="e">
        <v>#N/A</v>
      </c>
      <c r="M61" s="54" t="s">
        <v>156</v>
      </c>
      <c r="N61" s="54" t="s">
        <v>156</v>
      </c>
      <c r="O61" s="54" t="s">
        <v>156</v>
      </c>
    </row>
    <row r="62" spans="1:15" x14ac:dyDescent="0.35">
      <c r="A62" s="59" t="s">
        <v>181</v>
      </c>
      <c r="B62" s="60">
        <v>44927</v>
      </c>
      <c r="C62" s="54">
        <v>97.589266394893528</v>
      </c>
      <c r="D62" s="54">
        <v>97.589266394893528</v>
      </c>
      <c r="E62"/>
      <c r="F62"/>
      <c r="G62" t="e">
        <v>#N/A</v>
      </c>
      <c r="H62" s="54">
        <v>11</v>
      </c>
      <c r="I62" s="54">
        <v>52</v>
      </c>
      <c r="J62" s="54">
        <v>62</v>
      </c>
      <c r="K62" s="54">
        <v>61</v>
      </c>
      <c r="L62" s="54" t="e">
        <v>#N/A</v>
      </c>
      <c r="M62" s="54" t="s">
        <v>156</v>
      </c>
      <c r="N62" s="54" t="s">
        <v>156</v>
      </c>
      <c r="O62" s="54" t="s">
        <v>156</v>
      </c>
    </row>
    <row r="63" spans="1:15" x14ac:dyDescent="0.35">
      <c r="A63" s="59" t="s">
        <v>181</v>
      </c>
      <c r="B63" s="60">
        <v>44934</v>
      </c>
      <c r="C63" s="54">
        <v>100.00000000000001</v>
      </c>
      <c r="D63" s="54">
        <v>100.00000000000001</v>
      </c>
      <c r="E63"/>
      <c r="F63"/>
      <c r="G63" t="e">
        <v>#N/A</v>
      </c>
      <c r="H63" s="54">
        <v>11</v>
      </c>
      <c r="I63" s="54">
        <v>53</v>
      </c>
      <c r="J63" s="54">
        <v>63</v>
      </c>
      <c r="K63" s="54">
        <v>62</v>
      </c>
      <c r="L63" s="54" t="e">
        <v>#N/A</v>
      </c>
      <c r="M63" s="54" t="s">
        <v>156</v>
      </c>
      <c r="N63" s="54" t="s">
        <v>156</v>
      </c>
      <c r="O63" s="54" t="s">
        <v>156</v>
      </c>
    </row>
    <row r="64" spans="1:15" x14ac:dyDescent="0.35">
      <c r="A64" s="59" t="s">
        <v>181</v>
      </c>
      <c r="B64" s="60">
        <v>44941</v>
      </c>
      <c r="C64" s="54">
        <v>102.41073360510646</v>
      </c>
      <c r="D64" s="54">
        <v>102.41073360510646</v>
      </c>
      <c r="E64"/>
      <c r="F64"/>
      <c r="G64" t="e">
        <v>#N/A</v>
      </c>
      <c r="H64" s="54">
        <v>11</v>
      </c>
      <c r="I64" s="54">
        <v>54</v>
      </c>
      <c r="J64" s="54">
        <v>64</v>
      </c>
      <c r="K64" s="54">
        <v>63</v>
      </c>
      <c r="L64" s="54" t="e">
        <v>#N/A</v>
      </c>
      <c r="M64" s="54" t="s">
        <v>156</v>
      </c>
      <c r="N64" s="54" t="s">
        <v>156</v>
      </c>
      <c r="O64" s="54" t="s">
        <v>156</v>
      </c>
    </row>
    <row r="65" spans="1:15" x14ac:dyDescent="0.35">
      <c r="A65" s="59" t="s">
        <v>181</v>
      </c>
      <c r="B65" s="60">
        <v>44948</v>
      </c>
      <c r="C65" s="54">
        <v>104.78631328575115</v>
      </c>
      <c r="D65" s="54">
        <v>104.78631328575115</v>
      </c>
      <c r="E65"/>
      <c r="F65"/>
      <c r="G65" t="e">
        <v>#N/A</v>
      </c>
      <c r="H65" s="54">
        <v>11</v>
      </c>
      <c r="I65" s="54">
        <v>55</v>
      </c>
      <c r="J65" s="54">
        <v>65</v>
      </c>
      <c r="K65" s="54">
        <v>64</v>
      </c>
      <c r="L65" s="54" t="e">
        <v>#N/A</v>
      </c>
      <c r="M65" s="54" t="s">
        <v>156</v>
      </c>
      <c r="N65" s="54" t="s">
        <v>156</v>
      </c>
      <c r="O65" s="54" t="s">
        <v>156</v>
      </c>
    </row>
    <row r="66" spans="1:15" x14ac:dyDescent="0.35">
      <c r="A66" s="59" t="s">
        <v>181</v>
      </c>
      <c r="B66" s="60">
        <v>44955</v>
      </c>
      <c r="C66" s="54">
        <v>107.0920977408507</v>
      </c>
      <c r="D66" s="54">
        <v>107.0920977408507</v>
      </c>
      <c r="E66"/>
      <c r="F66"/>
      <c r="G66" t="e">
        <v>#N/A</v>
      </c>
      <c r="H66" s="54">
        <v>11</v>
      </c>
      <c r="I66" s="54">
        <v>56</v>
      </c>
      <c r="J66" s="54">
        <v>66</v>
      </c>
      <c r="K66" s="54">
        <v>65</v>
      </c>
      <c r="L66" s="54" t="e">
        <v>#N/A</v>
      </c>
      <c r="M66" s="54" t="s">
        <v>156</v>
      </c>
      <c r="N66" s="54" t="s">
        <v>156</v>
      </c>
      <c r="O66" s="54" t="s">
        <v>156</v>
      </c>
    </row>
    <row r="67" spans="1:15" x14ac:dyDescent="0.35">
      <c r="A67" s="59" t="s">
        <v>181</v>
      </c>
      <c r="B67" s="60">
        <v>44962</v>
      </c>
      <c r="C67" s="54">
        <v>109.29446344087536</v>
      </c>
      <c r="D67" s="54">
        <v>109.29446344087536</v>
      </c>
      <c r="E67"/>
      <c r="F67"/>
      <c r="G67" t="e">
        <v>#N/A</v>
      </c>
      <c r="H67" s="54">
        <v>11</v>
      </c>
      <c r="I67" s="54">
        <v>57</v>
      </c>
      <c r="J67" s="54">
        <v>67</v>
      </c>
      <c r="K67" s="54">
        <v>66</v>
      </c>
      <c r="L67" s="54" t="e">
        <v>#N/A</v>
      </c>
      <c r="M67" s="54" t="s">
        <v>156</v>
      </c>
      <c r="N67" s="54" t="s">
        <v>156</v>
      </c>
      <c r="O67" s="54" t="s">
        <v>156</v>
      </c>
    </row>
    <row r="68" spans="1:15" x14ac:dyDescent="0.35">
      <c r="A68" s="59" t="s">
        <v>181</v>
      </c>
      <c r="B68" s="60">
        <v>44969</v>
      </c>
      <c r="C68" s="54">
        <v>111.36129493462312</v>
      </c>
      <c r="D68" s="54">
        <v>111.36129493462312</v>
      </c>
      <c r="E68"/>
      <c r="F68"/>
      <c r="G68" t="e">
        <v>#N/A</v>
      </c>
      <c r="H68" s="54">
        <v>11</v>
      </c>
      <c r="I68" s="54">
        <v>58</v>
      </c>
      <c r="J68" s="54">
        <v>68</v>
      </c>
      <c r="K68" s="54">
        <v>67</v>
      </c>
      <c r="L68" s="54" t="e">
        <v>#N/A</v>
      </c>
      <c r="M68" s="54" t="s">
        <v>156</v>
      </c>
      <c r="N68" s="54" t="s">
        <v>156</v>
      </c>
      <c r="O68" s="54" t="s">
        <v>156</v>
      </c>
    </row>
    <row r="69" spans="1:15" x14ac:dyDescent="0.35">
      <c r="A69" s="59" t="s">
        <v>181</v>
      </c>
      <c r="B69" s="60">
        <v>44976</v>
      </c>
      <c r="C69" s="54">
        <v>113.26245316481591</v>
      </c>
      <c r="D69" s="54">
        <v>113.26245316481591</v>
      </c>
      <c r="E69"/>
      <c r="F69"/>
      <c r="G69" t="e">
        <v>#N/A</v>
      </c>
      <c r="H69" s="54">
        <v>11</v>
      </c>
      <c r="I69" s="54">
        <v>59</v>
      </c>
      <c r="J69" s="54">
        <v>69</v>
      </c>
      <c r="K69" s="54">
        <v>68</v>
      </c>
      <c r="L69" s="54" t="e">
        <v>#N/A</v>
      </c>
      <c r="M69" s="54" t="s">
        <v>156</v>
      </c>
      <c r="N69" s="54" t="s">
        <v>156</v>
      </c>
      <c r="O69" s="54" t="s">
        <v>156</v>
      </c>
    </row>
    <row r="70" spans="1:15" x14ac:dyDescent="0.35">
      <c r="A70" s="59" t="s">
        <v>181</v>
      </c>
      <c r="B70" s="60">
        <v>44983</v>
      </c>
      <c r="C70" s="54">
        <v>114.97021496342201</v>
      </c>
      <c r="D70" s="54">
        <v>114.97021496342201</v>
      </c>
      <c r="E70"/>
      <c r="F70"/>
      <c r="G70" t="e">
        <v>#N/A</v>
      </c>
      <c r="H70" s="54">
        <v>11</v>
      </c>
      <c r="I70" s="54">
        <v>60</v>
      </c>
      <c r="J70" s="54">
        <v>70</v>
      </c>
      <c r="K70" s="54">
        <v>69</v>
      </c>
      <c r="L70" s="54" t="e">
        <v>#N/A</v>
      </c>
      <c r="M70" s="54" t="s">
        <v>156</v>
      </c>
      <c r="N70" s="54" t="s">
        <v>156</v>
      </c>
      <c r="O70" s="54" t="s">
        <v>156</v>
      </c>
    </row>
    <row r="71" spans="1:15" x14ac:dyDescent="0.35">
      <c r="A71" s="59" t="s">
        <v>181</v>
      </c>
      <c r="B71" s="60">
        <v>44990</v>
      </c>
      <c r="C71" s="54">
        <v>116.45967731787312</v>
      </c>
      <c r="D71" s="54">
        <v>116.45967731787312</v>
      </c>
      <c r="E71"/>
      <c r="F71"/>
      <c r="G71" t="e">
        <v>#N/A</v>
      </c>
      <c r="H71" s="54">
        <v>11</v>
      </c>
      <c r="I71" s="54">
        <v>61</v>
      </c>
      <c r="J71" s="54">
        <v>71</v>
      </c>
      <c r="K71" s="54">
        <v>70</v>
      </c>
      <c r="L71" s="54" t="e">
        <v>#N/A</v>
      </c>
      <c r="M71" s="54" t="s">
        <v>156</v>
      </c>
      <c r="N71" s="54" t="s">
        <v>156</v>
      </c>
      <c r="O71" s="54" t="s">
        <v>156</v>
      </c>
    </row>
    <row r="72" spans="1:15" x14ac:dyDescent="0.35">
      <c r="A72" s="59" t="s">
        <v>181</v>
      </c>
      <c r="B72" s="60">
        <v>44997</v>
      </c>
      <c r="C72" s="54">
        <v>117.70912051306419</v>
      </c>
      <c r="D72" s="54">
        <v>117.70912051306419</v>
      </c>
      <c r="E72"/>
      <c r="F72"/>
      <c r="G72" t="e">
        <v>#N/A</v>
      </c>
      <c r="H72" s="54">
        <v>11</v>
      </c>
      <c r="I72" s="54">
        <v>62</v>
      </c>
      <c r="J72" s="54">
        <v>72</v>
      </c>
      <c r="K72" s="54">
        <v>71</v>
      </c>
      <c r="L72" s="54" t="e">
        <v>#N/A</v>
      </c>
      <c r="M72" s="54" t="s">
        <v>156</v>
      </c>
      <c r="N72" s="54" t="s">
        <v>156</v>
      </c>
      <c r="O72" s="54" t="s">
        <v>156</v>
      </c>
    </row>
    <row r="73" spans="1:15" x14ac:dyDescent="0.35">
      <c r="A73" s="59" t="s">
        <v>181</v>
      </c>
      <c r="B73" s="60">
        <v>45004</v>
      </c>
      <c r="C73" s="54">
        <v>118.7003248537083</v>
      </c>
      <c r="D73" s="54">
        <v>118.7003248537083</v>
      </c>
      <c r="E73"/>
      <c r="F73"/>
      <c r="G73" t="e">
        <v>#N/A</v>
      </c>
      <c r="H73" s="54">
        <v>11</v>
      </c>
      <c r="I73" s="54">
        <v>63</v>
      </c>
      <c r="J73" s="54">
        <v>73</v>
      </c>
      <c r="K73" s="54">
        <v>72</v>
      </c>
      <c r="L73" s="54" t="e">
        <v>#N/A</v>
      </c>
      <c r="M73" s="54" t="s">
        <v>156</v>
      </c>
      <c r="N73" s="54" t="s">
        <v>156</v>
      </c>
      <c r="O73" s="54" t="s">
        <v>156</v>
      </c>
    </row>
    <row r="74" spans="1:15" x14ac:dyDescent="0.35">
      <c r="A74" s="59" t="s">
        <v>181</v>
      </c>
      <c r="B74" s="60">
        <v>45011</v>
      </c>
      <c r="C74" s="54">
        <v>119.41883634852104</v>
      </c>
      <c r="D74" s="54">
        <v>119.41883634852104</v>
      </c>
      <c r="E74"/>
      <c r="F74"/>
      <c r="G74" t="e">
        <v>#N/A</v>
      </c>
      <c r="H74" s="54">
        <v>11</v>
      </c>
      <c r="I74" s="54">
        <v>64</v>
      </c>
      <c r="J74" s="54">
        <v>74</v>
      </c>
      <c r="K74" s="54">
        <v>73</v>
      </c>
      <c r="L74" s="54" t="e">
        <v>#N/A</v>
      </c>
      <c r="M74" s="54" t="s">
        <v>156</v>
      </c>
      <c r="N74" s="54" t="s">
        <v>156</v>
      </c>
      <c r="O74" s="54" t="s">
        <v>156</v>
      </c>
    </row>
    <row r="75" spans="1:15" x14ac:dyDescent="0.35">
      <c r="A75" s="59" t="s">
        <v>181</v>
      </c>
      <c r="B75" s="60">
        <v>45018</v>
      </c>
      <c r="C75" s="54">
        <v>119.85417748196107</v>
      </c>
      <c r="D75" s="54">
        <v>119.85417748196107</v>
      </c>
      <c r="E75"/>
      <c r="F75"/>
      <c r="G75" t="e">
        <v>#N/A</v>
      </c>
      <c r="H75" s="54">
        <v>11</v>
      </c>
      <c r="I75" s="54">
        <v>65</v>
      </c>
      <c r="J75" s="54">
        <v>75</v>
      </c>
      <c r="K75" s="54">
        <v>74</v>
      </c>
      <c r="L75" s="54" t="e">
        <v>#N/A</v>
      </c>
      <c r="M75" s="54" t="s">
        <v>156</v>
      </c>
      <c r="N75" s="54" t="s">
        <v>156</v>
      </c>
      <c r="O75" s="54" t="s">
        <v>156</v>
      </c>
    </row>
    <row r="76" spans="1:15" x14ac:dyDescent="0.35">
      <c r="A76" s="59" t="s">
        <v>181</v>
      </c>
      <c r="B76" s="60">
        <v>45025</v>
      </c>
      <c r="C76" s="54">
        <v>120</v>
      </c>
      <c r="D76" s="54">
        <v>120</v>
      </c>
      <c r="E76"/>
      <c r="F76"/>
      <c r="G76" t="e">
        <v>#N/A</v>
      </c>
      <c r="H76" s="54">
        <v>11</v>
      </c>
      <c r="I76" s="54">
        <v>66</v>
      </c>
      <c r="J76" s="54">
        <v>76</v>
      </c>
      <c r="K76" s="54">
        <v>75</v>
      </c>
      <c r="L76" s="54" t="e">
        <v>#N/A</v>
      </c>
      <c r="M76" s="54" t="s">
        <v>156</v>
      </c>
      <c r="N76" s="54" t="s">
        <v>156</v>
      </c>
      <c r="O76" s="54" t="s">
        <v>156</v>
      </c>
    </row>
    <row r="77" spans="1:15" x14ac:dyDescent="0.35">
      <c r="A77" s="59" t="s">
        <v>181</v>
      </c>
      <c r="B77" s="60">
        <v>45032</v>
      </c>
      <c r="C77" s="54">
        <v>119.85417748196107</v>
      </c>
      <c r="D77" s="54">
        <v>119.85417748196107</v>
      </c>
      <c r="E77"/>
      <c r="F77"/>
      <c r="G77" t="e">
        <v>#N/A</v>
      </c>
      <c r="H77" s="54">
        <v>11</v>
      </c>
      <c r="I77" s="54">
        <v>67</v>
      </c>
      <c r="J77" s="54">
        <v>77</v>
      </c>
      <c r="K77" s="54">
        <v>76</v>
      </c>
      <c r="L77" s="54" t="e">
        <v>#N/A</v>
      </c>
      <c r="M77" s="54" t="s">
        <v>156</v>
      </c>
      <c r="N77" s="54" t="s">
        <v>156</v>
      </c>
      <c r="O77" s="54" t="s">
        <v>156</v>
      </c>
    </row>
    <row r="78" spans="1:15" x14ac:dyDescent="0.35">
      <c r="A78" s="59" t="s">
        <v>181</v>
      </c>
      <c r="B78" s="60">
        <v>45039</v>
      </c>
      <c r="C78" s="54">
        <v>119.41883634852104</v>
      </c>
      <c r="D78" s="54">
        <v>119.41883634852104</v>
      </c>
      <c r="E78"/>
      <c r="F78"/>
      <c r="G78" t="e">
        <v>#N/A</v>
      </c>
      <c r="H78" s="54">
        <v>11</v>
      </c>
      <c r="I78" s="54">
        <v>68</v>
      </c>
      <c r="J78" s="54">
        <v>78</v>
      </c>
      <c r="K78" s="54">
        <v>77</v>
      </c>
      <c r="L78" s="54" t="e">
        <v>#N/A</v>
      </c>
      <c r="M78" s="54" t="s">
        <v>156</v>
      </c>
      <c r="N78" s="54" t="s">
        <v>156</v>
      </c>
      <c r="O78" s="54" t="s">
        <v>156</v>
      </c>
    </row>
    <row r="79" spans="1:15" x14ac:dyDescent="0.35">
      <c r="A79" s="59" t="s">
        <v>181</v>
      </c>
      <c r="B79" s="60">
        <v>45046</v>
      </c>
      <c r="C79" s="54">
        <v>118.7003248537083</v>
      </c>
      <c r="D79" s="54">
        <v>118.7003248537083</v>
      </c>
      <c r="E79"/>
      <c r="F79"/>
      <c r="G79" t="e">
        <v>#N/A</v>
      </c>
      <c r="H79" s="54">
        <v>11</v>
      </c>
      <c r="I79" s="54">
        <v>69</v>
      </c>
      <c r="J79" s="54">
        <v>79</v>
      </c>
      <c r="K79" s="54">
        <v>78</v>
      </c>
      <c r="L79" s="54" t="e">
        <v>#N/A</v>
      </c>
      <c r="M79" s="54" t="s">
        <v>156</v>
      </c>
      <c r="N79" s="54" t="s">
        <v>156</v>
      </c>
      <c r="O79" s="54" t="s">
        <v>156</v>
      </c>
    </row>
    <row r="80" spans="1:15" x14ac:dyDescent="0.35">
      <c r="A80" s="59" t="s">
        <v>181</v>
      </c>
      <c r="B80" s="60">
        <v>45053</v>
      </c>
      <c r="C80" s="54">
        <v>117.70912051306421</v>
      </c>
      <c r="D80" s="54">
        <v>117.70912051306421</v>
      </c>
      <c r="E80"/>
      <c r="F80"/>
      <c r="G80" t="e">
        <v>#N/A</v>
      </c>
      <c r="H80" s="54">
        <v>11</v>
      </c>
      <c r="I80" s="54">
        <v>70</v>
      </c>
      <c r="J80" s="54">
        <v>80</v>
      </c>
      <c r="K80" s="54">
        <v>79</v>
      </c>
      <c r="L80" s="54" t="e">
        <v>#N/A</v>
      </c>
      <c r="M80" s="54" t="s">
        <v>156</v>
      </c>
      <c r="N80" s="54" t="s">
        <v>156</v>
      </c>
      <c r="O80" s="54" t="s">
        <v>156</v>
      </c>
    </row>
    <row r="81" spans="1:15" x14ac:dyDescent="0.35">
      <c r="A81" s="59" t="s">
        <v>181</v>
      </c>
      <c r="B81" s="60">
        <v>45060</v>
      </c>
      <c r="C81" s="54">
        <v>116.45967731787314</v>
      </c>
      <c r="D81" s="54">
        <v>116.45967731787314</v>
      </c>
      <c r="E81"/>
      <c r="F81"/>
      <c r="G81" t="e">
        <v>#N/A</v>
      </c>
      <c r="H81" s="54">
        <v>11</v>
      </c>
      <c r="I81" s="54">
        <v>71</v>
      </c>
      <c r="J81" s="54">
        <v>81</v>
      </c>
      <c r="K81" s="54">
        <v>80</v>
      </c>
      <c r="L81" s="54" t="e">
        <v>#N/A</v>
      </c>
      <c r="M81" s="54" t="s">
        <v>156</v>
      </c>
      <c r="N81" s="54" t="s">
        <v>156</v>
      </c>
      <c r="O81" s="54" t="s">
        <v>156</v>
      </c>
    </row>
    <row r="82" spans="1:15" x14ac:dyDescent="0.35">
      <c r="A82" s="59" t="s">
        <v>181</v>
      </c>
      <c r="B82" s="60">
        <v>45067</v>
      </c>
      <c r="C82" s="54">
        <v>114.97021496342202</v>
      </c>
      <c r="D82" s="54">
        <v>114.97021496342202</v>
      </c>
      <c r="E82"/>
      <c r="F82"/>
      <c r="G82" t="e">
        <v>#N/A</v>
      </c>
      <c r="H82" s="54">
        <v>11</v>
      </c>
      <c r="I82" s="54">
        <v>72</v>
      </c>
      <c r="J82" s="54">
        <v>82</v>
      </c>
      <c r="K82" s="54">
        <v>81</v>
      </c>
      <c r="L82" s="54" t="e">
        <v>#N/A</v>
      </c>
      <c r="M82" s="54" t="s">
        <v>156</v>
      </c>
      <c r="N82" s="54" t="s">
        <v>156</v>
      </c>
      <c r="O82" s="54" t="s">
        <v>156</v>
      </c>
    </row>
    <row r="83" spans="1:15" x14ac:dyDescent="0.35">
      <c r="A83" s="59" t="s">
        <v>181</v>
      </c>
      <c r="B83" s="60">
        <v>45074</v>
      </c>
      <c r="C83" s="54">
        <v>113.26245316481591</v>
      </c>
      <c r="D83" s="54">
        <v>113.26245316481591</v>
      </c>
      <c r="E83"/>
      <c r="F83"/>
      <c r="G83" t="e">
        <v>#N/A</v>
      </c>
      <c r="H83" s="54">
        <v>11</v>
      </c>
      <c r="I83" s="54">
        <v>73</v>
      </c>
      <c r="J83" s="54">
        <v>83</v>
      </c>
      <c r="K83" s="54">
        <v>82</v>
      </c>
      <c r="L83" s="54" t="e">
        <v>#N/A</v>
      </c>
      <c r="M83" s="54" t="s">
        <v>156</v>
      </c>
      <c r="N83" s="54" t="s">
        <v>156</v>
      </c>
      <c r="O83" s="54" t="s">
        <v>156</v>
      </c>
    </row>
    <row r="84" spans="1:15" x14ac:dyDescent="0.35">
      <c r="A84" s="59" t="s">
        <v>181</v>
      </c>
      <c r="B84" s="60">
        <v>45081</v>
      </c>
      <c r="C84" s="54">
        <v>111.36129493462313</v>
      </c>
      <c r="D84" s="54">
        <v>111.36129493462313</v>
      </c>
      <c r="E84"/>
      <c r="F84"/>
      <c r="G84" t="e">
        <v>#N/A</v>
      </c>
      <c r="H84" s="54">
        <v>11</v>
      </c>
      <c r="I84" s="54">
        <v>74</v>
      </c>
      <c r="J84" s="54">
        <v>84</v>
      </c>
      <c r="K84" s="54">
        <v>83</v>
      </c>
      <c r="L84" s="54" t="e">
        <v>#N/A</v>
      </c>
      <c r="M84" s="54" t="s">
        <v>156</v>
      </c>
      <c r="N84" s="54" t="s">
        <v>156</v>
      </c>
      <c r="O84" s="54" t="s">
        <v>156</v>
      </c>
    </row>
    <row r="85" spans="1:15" x14ac:dyDescent="0.35">
      <c r="A85" s="59" t="s">
        <v>181</v>
      </c>
      <c r="B85" s="60">
        <v>45088</v>
      </c>
      <c r="C85" s="54">
        <v>109.29446344087538</v>
      </c>
      <c r="D85" s="54">
        <v>109.29446344087538</v>
      </c>
      <c r="E85"/>
      <c r="F85"/>
      <c r="G85" t="e">
        <v>#N/A</v>
      </c>
      <c r="H85" s="54">
        <v>11</v>
      </c>
      <c r="I85" s="54">
        <v>75</v>
      </c>
      <c r="J85" s="54">
        <v>85</v>
      </c>
      <c r="K85" s="54">
        <v>84</v>
      </c>
      <c r="L85" s="54" t="e">
        <v>#N/A</v>
      </c>
      <c r="M85" s="54" t="s">
        <v>156</v>
      </c>
      <c r="N85" s="54" t="s">
        <v>156</v>
      </c>
      <c r="O85" s="54" t="s">
        <v>156</v>
      </c>
    </row>
    <row r="86" spans="1:15" x14ac:dyDescent="0.35">
      <c r="A86" s="59" t="s">
        <v>181</v>
      </c>
      <c r="B86" s="60">
        <v>45095</v>
      </c>
      <c r="C86" s="54">
        <v>107.09209774085072</v>
      </c>
      <c r="D86" s="54">
        <v>107.09209774085072</v>
      </c>
      <c r="E86"/>
      <c r="F86"/>
      <c r="G86" t="e">
        <v>#N/A</v>
      </c>
      <c r="H86" s="54">
        <v>11</v>
      </c>
      <c r="I86" s="54">
        <v>76</v>
      </c>
      <c r="J86" s="54">
        <v>86</v>
      </c>
      <c r="K86" s="54">
        <v>85</v>
      </c>
      <c r="L86" s="54" t="e">
        <v>#N/A</v>
      </c>
      <c r="M86" s="54" t="s">
        <v>156</v>
      </c>
      <c r="N86" s="54" t="s">
        <v>156</v>
      </c>
      <c r="O86" s="54" t="s">
        <v>156</v>
      </c>
    </row>
    <row r="87" spans="1:15" x14ac:dyDescent="0.35">
      <c r="A87" s="59" t="s">
        <v>181</v>
      </c>
      <c r="B87" s="60">
        <v>45102</v>
      </c>
      <c r="C87" s="54">
        <v>104.78631328575118</v>
      </c>
      <c r="D87" s="54">
        <v>104.78631328575118</v>
      </c>
      <c r="E87"/>
      <c r="F87"/>
      <c r="G87" t="e">
        <v>#N/A</v>
      </c>
      <c r="H87" s="54">
        <v>11</v>
      </c>
      <c r="I87" s="54">
        <v>77</v>
      </c>
      <c r="J87" s="54">
        <v>87</v>
      </c>
      <c r="K87" s="54">
        <v>86</v>
      </c>
      <c r="L87" s="54" t="e">
        <v>#N/A</v>
      </c>
      <c r="M87" s="54" t="s">
        <v>156</v>
      </c>
      <c r="N87" s="54" t="s">
        <v>156</v>
      </c>
      <c r="O87" s="54" t="s">
        <v>156</v>
      </c>
    </row>
    <row r="88" spans="1:15" x14ac:dyDescent="0.35">
      <c r="A88" s="59" t="s">
        <v>181</v>
      </c>
      <c r="B88" s="60">
        <v>45109</v>
      </c>
      <c r="C88" s="54">
        <v>102.41073360510646</v>
      </c>
      <c r="D88" s="54">
        <v>102.41073360510646</v>
      </c>
      <c r="E88"/>
      <c r="F88"/>
      <c r="G88" t="e">
        <v>#N/A</v>
      </c>
      <c r="H88" s="54">
        <v>11</v>
      </c>
      <c r="I88" s="54">
        <v>78</v>
      </c>
      <c r="J88" s="54">
        <v>88</v>
      </c>
      <c r="K88" s="54">
        <v>87</v>
      </c>
      <c r="L88" s="54" t="e">
        <v>#N/A</v>
      </c>
      <c r="M88" s="54" t="s">
        <v>156</v>
      </c>
      <c r="N88" s="54" t="s">
        <v>156</v>
      </c>
      <c r="O88" s="54" t="s">
        <v>156</v>
      </c>
    </row>
    <row r="89" spans="1:15" x14ac:dyDescent="0.35">
      <c r="A89" s="59" t="s">
        <v>181</v>
      </c>
      <c r="B89" s="60">
        <v>45116</v>
      </c>
      <c r="C89" s="54">
        <v>100.00000000000001</v>
      </c>
      <c r="D89" s="54">
        <v>100.00000000000001</v>
      </c>
      <c r="E89"/>
      <c r="F89"/>
      <c r="G89" t="e">
        <v>#N/A</v>
      </c>
      <c r="H89" s="54">
        <v>11</v>
      </c>
      <c r="I89" s="54">
        <v>79</v>
      </c>
      <c r="J89" s="54">
        <v>89</v>
      </c>
      <c r="K89" s="54">
        <v>88</v>
      </c>
      <c r="L89" s="54" t="e">
        <v>#N/A</v>
      </c>
      <c r="M89" s="54" t="s">
        <v>156</v>
      </c>
      <c r="N89" s="54" t="s">
        <v>156</v>
      </c>
      <c r="O89" s="54" t="s">
        <v>156</v>
      </c>
    </row>
    <row r="90" spans="1:15" x14ac:dyDescent="0.35">
      <c r="A90" s="59" t="s">
        <v>181</v>
      </c>
      <c r="B90" s="60">
        <v>45123</v>
      </c>
      <c r="C90" s="54">
        <v>97.589266394893528</v>
      </c>
      <c r="D90" s="54">
        <v>97.589266394893528</v>
      </c>
      <c r="E90"/>
      <c r="F90"/>
      <c r="G90" t="e">
        <v>#N/A</v>
      </c>
      <c r="H90" s="54">
        <v>11</v>
      </c>
      <c r="I90" s="54">
        <v>80</v>
      </c>
      <c r="J90" s="54">
        <v>90</v>
      </c>
      <c r="K90" s="54">
        <v>89</v>
      </c>
      <c r="L90" s="54" t="e">
        <v>#N/A</v>
      </c>
      <c r="M90" s="54" t="s">
        <v>156</v>
      </c>
      <c r="N90" s="54" t="s">
        <v>156</v>
      </c>
      <c r="O90" s="54" t="s">
        <v>156</v>
      </c>
    </row>
    <row r="91" spans="1:15" x14ac:dyDescent="0.35">
      <c r="A91" s="59" t="s">
        <v>181</v>
      </c>
      <c r="B91" s="60">
        <v>45130</v>
      </c>
      <c r="C91" s="54">
        <v>95.213686714248837</v>
      </c>
      <c r="D91" s="54">
        <v>95.213686714248837</v>
      </c>
      <c r="E91"/>
      <c r="F91"/>
      <c r="G91" t="e">
        <v>#N/A</v>
      </c>
      <c r="H91" s="54">
        <v>11</v>
      </c>
      <c r="I91" s="54">
        <v>81</v>
      </c>
      <c r="J91" s="54">
        <v>91</v>
      </c>
      <c r="K91" s="54">
        <v>90</v>
      </c>
      <c r="L91" s="54" t="e">
        <v>#N/A</v>
      </c>
      <c r="M91" s="54" t="s">
        <v>156</v>
      </c>
      <c r="N91" s="54" t="s">
        <v>156</v>
      </c>
      <c r="O91" s="54" t="s">
        <v>156</v>
      </c>
    </row>
    <row r="92" spans="1:15" x14ac:dyDescent="0.35">
      <c r="A92" s="59" t="s">
        <v>181</v>
      </c>
      <c r="B92" s="60">
        <v>45137</v>
      </c>
      <c r="C92" s="54">
        <v>92.907902259149296</v>
      </c>
      <c r="D92" s="54">
        <v>92.907902259149296</v>
      </c>
      <c r="E92"/>
      <c r="F92"/>
      <c r="G92" t="e">
        <v>#N/A</v>
      </c>
      <c r="H92" s="54">
        <v>11</v>
      </c>
      <c r="I92" s="54">
        <v>82</v>
      </c>
      <c r="J92" s="54">
        <v>92</v>
      </c>
      <c r="K92" s="54">
        <v>91</v>
      </c>
      <c r="L92" s="54" t="e">
        <v>#N/A</v>
      </c>
      <c r="M92" s="54" t="s">
        <v>156</v>
      </c>
      <c r="N92" s="54" t="s">
        <v>156</v>
      </c>
      <c r="O92" s="54" t="s">
        <v>156</v>
      </c>
    </row>
    <row r="93" spans="1:15" x14ac:dyDescent="0.35">
      <c r="A93" s="59" t="s">
        <v>181</v>
      </c>
      <c r="B93" s="60">
        <v>45144</v>
      </c>
      <c r="C93" s="54">
        <v>90.705536559124639</v>
      </c>
      <c r="D93" s="54">
        <v>90.705536559124639</v>
      </c>
      <c r="E93"/>
      <c r="F93"/>
      <c r="G93" t="e">
        <v>#N/A</v>
      </c>
      <c r="H93" s="54">
        <v>11</v>
      </c>
      <c r="I93" s="54">
        <v>83</v>
      </c>
      <c r="J93" s="54">
        <v>93</v>
      </c>
      <c r="K93" s="54">
        <v>92</v>
      </c>
      <c r="L93" s="54" t="e">
        <v>#N/A</v>
      </c>
      <c r="M93" s="54" t="s">
        <v>156</v>
      </c>
      <c r="N93" s="54" t="s">
        <v>156</v>
      </c>
      <c r="O93" s="54" t="s">
        <v>156</v>
      </c>
    </row>
    <row r="94" spans="1:15" x14ac:dyDescent="0.35">
      <c r="A94" s="59" t="s">
        <v>181</v>
      </c>
      <c r="B94" s="60">
        <v>45151</v>
      </c>
      <c r="C94" s="54">
        <v>88.638705065376882</v>
      </c>
      <c r="D94" s="54">
        <v>88.638705065376882</v>
      </c>
      <c r="E94"/>
      <c r="F94"/>
      <c r="G94" t="e">
        <v>#N/A</v>
      </c>
      <c r="H94" s="54">
        <v>11</v>
      </c>
      <c r="I94" s="54">
        <v>84</v>
      </c>
      <c r="J94" s="54">
        <v>94</v>
      </c>
      <c r="K94" s="54">
        <v>93</v>
      </c>
      <c r="L94" s="54" t="e">
        <v>#N/A</v>
      </c>
      <c r="M94" s="54" t="s">
        <v>156</v>
      </c>
      <c r="N94" s="54" t="s">
        <v>156</v>
      </c>
      <c r="O94" s="54" t="s">
        <v>156</v>
      </c>
    </row>
    <row r="95" spans="1:15" x14ac:dyDescent="0.35">
      <c r="A95" s="59" t="s">
        <v>181</v>
      </c>
      <c r="B95" s="60">
        <v>45158</v>
      </c>
      <c r="C95" s="54">
        <v>86.737546835184105</v>
      </c>
      <c r="D95" s="54">
        <v>86.737546835184105</v>
      </c>
      <c r="E95"/>
      <c r="F95"/>
      <c r="G95" t="e">
        <v>#N/A</v>
      </c>
      <c r="H95" s="54">
        <v>11</v>
      </c>
      <c r="I95" s="54">
        <v>85</v>
      </c>
      <c r="J95" s="54">
        <v>95</v>
      </c>
      <c r="K95" s="54">
        <v>94</v>
      </c>
      <c r="L95" s="54" t="e">
        <v>#N/A</v>
      </c>
      <c r="M95" s="54" t="s">
        <v>156</v>
      </c>
      <c r="N95" s="54" t="s">
        <v>156</v>
      </c>
      <c r="O95" s="54" t="s">
        <v>156</v>
      </c>
    </row>
    <row r="96" spans="1:15" x14ac:dyDescent="0.35">
      <c r="A96" s="59" t="s">
        <v>181</v>
      </c>
      <c r="B96" s="60">
        <v>45165</v>
      </c>
      <c r="C96" s="54">
        <v>85.029785036577991</v>
      </c>
      <c r="D96" s="54">
        <v>85.029785036577991</v>
      </c>
      <c r="E96"/>
      <c r="F96"/>
      <c r="G96" t="e">
        <v>#N/A</v>
      </c>
      <c r="H96" s="54">
        <v>11</v>
      </c>
      <c r="I96" s="54">
        <v>86</v>
      </c>
      <c r="J96" s="54">
        <v>96</v>
      </c>
      <c r="K96" s="54">
        <v>95</v>
      </c>
      <c r="L96" s="54" t="e">
        <v>#N/A</v>
      </c>
      <c r="M96" s="54" t="s">
        <v>156</v>
      </c>
      <c r="N96" s="54" t="s">
        <v>156</v>
      </c>
      <c r="O96" s="54" t="s">
        <v>156</v>
      </c>
    </row>
    <row r="97" spans="1:15" x14ac:dyDescent="0.35">
      <c r="A97" s="59" t="s">
        <v>181</v>
      </c>
      <c r="B97" s="60">
        <v>45172</v>
      </c>
      <c r="C97" s="54">
        <v>83.540322682126885</v>
      </c>
      <c r="D97" s="54">
        <v>83.540322682126885</v>
      </c>
      <c r="E97"/>
      <c r="F97"/>
      <c r="G97" t="e">
        <v>#N/A</v>
      </c>
      <c r="H97" s="54">
        <v>11</v>
      </c>
      <c r="I97" s="54">
        <v>87</v>
      </c>
      <c r="J97" s="54">
        <v>97</v>
      </c>
      <c r="K97" s="54">
        <v>96</v>
      </c>
      <c r="L97" s="54" t="e">
        <v>#N/A</v>
      </c>
      <c r="M97" s="54" t="s">
        <v>156</v>
      </c>
      <c r="N97" s="54" t="s">
        <v>156</v>
      </c>
      <c r="O97" s="54" t="s">
        <v>156</v>
      </c>
    </row>
    <row r="98" spans="1:15" x14ac:dyDescent="0.35">
      <c r="A98" s="59" t="s">
        <v>181</v>
      </c>
      <c r="B98" s="60">
        <v>45179</v>
      </c>
      <c r="C98" s="54">
        <v>82.290879486935822</v>
      </c>
      <c r="D98" s="54">
        <v>82.290879486935822</v>
      </c>
      <c r="E98"/>
      <c r="F98"/>
      <c r="G98" t="e">
        <v>#N/A</v>
      </c>
      <c r="H98" s="54">
        <v>11</v>
      </c>
      <c r="I98" s="54">
        <v>88</v>
      </c>
      <c r="J98" s="54">
        <v>98</v>
      </c>
      <c r="K98" s="54">
        <v>97</v>
      </c>
      <c r="L98" s="54" t="e">
        <v>#N/A</v>
      </c>
      <c r="M98" s="54" t="s">
        <v>156</v>
      </c>
      <c r="N98" s="54" t="s">
        <v>156</v>
      </c>
      <c r="O98" s="54" t="s">
        <v>156</v>
      </c>
    </row>
    <row r="99" spans="1:15" x14ac:dyDescent="0.35">
      <c r="A99" s="59" t="s">
        <v>181</v>
      </c>
      <c r="B99" s="60">
        <v>45186</v>
      </c>
      <c r="C99" s="54">
        <v>81.299675146291719</v>
      </c>
      <c r="D99" s="54">
        <v>81.299675146291719</v>
      </c>
      <c r="E99"/>
      <c r="F99"/>
      <c r="G99" t="e">
        <v>#N/A</v>
      </c>
      <c r="H99" s="54">
        <v>11</v>
      </c>
      <c r="I99" s="54">
        <v>89</v>
      </c>
      <c r="J99" s="54">
        <v>99</v>
      </c>
      <c r="K99" s="54">
        <v>98</v>
      </c>
      <c r="L99" s="54" t="e">
        <v>#N/A</v>
      </c>
      <c r="M99" s="54" t="s">
        <v>156</v>
      </c>
      <c r="N99" s="54" t="s">
        <v>156</v>
      </c>
      <c r="O99" s="54" t="s">
        <v>156</v>
      </c>
    </row>
    <row r="100" spans="1:15" x14ac:dyDescent="0.35">
      <c r="A100" s="59" t="s">
        <v>181</v>
      </c>
      <c r="B100" s="60">
        <v>45193</v>
      </c>
      <c r="C100" s="54">
        <v>80.58116365147896</v>
      </c>
      <c r="D100" s="54">
        <v>80.58116365147896</v>
      </c>
      <c r="E100"/>
      <c r="F100"/>
      <c r="G100" t="e">
        <v>#N/A</v>
      </c>
      <c r="H100" s="54">
        <v>11</v>
      </c>
      <c r="I100" s="54">
        <v>90</v>
      </c>
      <c r="J100" s="54">
        <v>100</v>
      </c>
      <c r="K100" s="54">
        <v>99</v>
      </c>
      <c r="L100" s="54" t="e">
        <v>#N/A</v>
      </c>
      <c r="M100" s="54" t="s">
        <v>156</v>
      </c>
      <c r="N100" s="54" t="s">
        <v>156</v>
      </c>
      <c r="O100" s="54" t="s">
        <v>156</v>
      </c>
    </row>
    <row r="101" spans="1:15" x14ac:dyDescent="0.35">
      <c r="A101" s="59" t="s">
        <v>181</v>
      </c>
      <c r="B101" s="60">
        <v>45200</v>
      </c>
      <c r="C101" s="54">
        <v>80.145822518038926</v>
      </c>
      <c r="D101" s="54">
        <v>80.145822518038926</v>
      </c>
      <c r="E101"/>
      <c r="F101"/>
      <c r="G101" t="e">
        <v>#N/A</v>
      </c>
      <c r="H101" s="54">
        <v>11</v>
      </c>
      <c r="I101" s="54">
        <v>91</v>
      </c>
      <c r="J101" s="54">
        <v>101</v>
      </c>
      <c r="K101" s="54">
        <v>100</v>
      </c>
      <c r="L101" s="54" t="e">
        <v>#N/A</v>
      </c>
      <c r="M101" s="54" t="s">
        <v>156</v>
      </c>
      <c r="N101" s="54" t="s">
        <v>156</v>
      </c>
      <c r="O101" s="54" t="s">
        <v>156</v>
      </c>
    </row>
    <row r="102" spans="1:15" x14ac:dyDescent="0.35">
      <c r="A102" s="59" t="s">
        <v>181</v>
      </c>
      <c r="B102" s="60">
        <v>45207</v>
      </c>
      <c r="C102" s="54">
        <v>80</v>
      </c>
      <c r="D102" s="54">
        <v>80</v>
      </c>
      <c r="E102"/>
      <c r="F102"/>
      <c r="G102" t="e">
        <v>#N/A</v>
      </c>
      <c r="H102" s="54">
        <v>11</v>
      </c>
      <c r="I102" s="54">
        <v>92</v>
      </c>
      <c r="J102" s="54">
        <v>102</v>
      </c>
      <c r="K102" s="54">
        <v>101</v>
      </c>
      <c r="L102" s="54" t="e">
        <v>#N/A</v>
      </c>
      <c r="M102" s="54" t="s">
        <v>156</v>
      </c>
      <c r="N102" s="54" t="s">
        <v>156</v>
      </c>
      <c r="O102" s="54" t="s">
        <v>156</v>
      </c>
    </row>
    <row r="103" spans="1:15" x14ac:dyDescent="0.35">
      <c r="A103" s="59" t="s">
        <v>181</v>
      </c>
      <c r="B103" s="60">
        <v>45214</v>
      </c>
      <c r="C103" s="54">
        <v>80.145822518038926</v>
      </c>
      <c r="D103" s="54">
        <v>80.145822518038926</v>
      </c>
      <c r="E103"/>
      <c r="F103"/>
      <c r="G103" t="e">
        <v>#N/A</v>
      </c>
      <c r="H103" s="54">
        <v>11</v>
      </c>
      <c r="I103" s="54">
        <v>93</v>
      </c>
      <c r="J103" s="54">
        <v>103</v>
      </c>
      <c r="K103" s="54">
        <v>102</v>
      </c>
      <c r="L103" s="54" t="e">
        <v>#N/A</v>
      </c>
      <c r="M103" s="54" t="s">
        <v>156</v>
      </c>
      <c r="N103" s="54" t="s">
        <v>156</v>
      </c>
      <c r="O103" s="54" t="s">
        <v>156</v>
      </c>
    </row>
    <row r="104" spans="1:15" x14ac:dyDescent="0.35">
      <c r="A104" s="59" t="s">
        <v>181</v>
      </c>
      <c r="B104" s="60">
        <v>45221</v>
      </c>
      <c r="C104" s="54">
        <v>80.58116365147896</v>
      </c>
      <c r="D104" s="54">
        <v>80.58116365147896</v>
      </c>
      <c r="E104"/>
      <c r="F104"/>
      <c r="G104" t="e">
        <v>#N/A</v>
      </c>
      <c r="H104" s="54">
        <v>11</v>
      </c>
      <c r="I104" s="54">
        <v>94</v>
      </c>
      <c r="J104" s="54">
        <v>104</v>
      </c>
      <c r="K104" s="54">
        <v>103</v>
      </c>
      <c r="L104" s="54" t="e">
        <v>#N/A</v>
      </c>
      <c r="M104" s="54" t="s">
        <v>156</v>
      </c>
      <c r="N104" s="54" t="s">
        <v>156</v>
      </c>
      <c r="O104" s="54" t="s">
        <v>156</v>
      </c>
    </row>
    <row r="105" spans="1:15" x14ac:dyDescent="0.35">
      <c r="A105" s="59" t="s">
        <v>181</v>
      </c>
      <c r="B105" s="60">
        <v>45228</v>
      </c>
      <c r="C105" s="54">
        <v>81.299675146291705</v>
      </c>
      <c r="D105" s="54">
        <v>81.299675146291705</v>
      </c>
      <c r="E105"/>
      <c r="F105"/>
      <c r="G105" t="e">
        <v>#N/A</v>
      </c>
      <c r="H105" s="54">
        <v>11</v>
      </c>
      <c r="I105" s="54">
        <v>95</v>
      </c>
      <c r="J105" s="54">
        <v>105</v>
      </c>
      <c r="K105" s="54">
        <v>104</v>
      </c>
      <c r="L105" s="54" t="e">
        <v>#N/A</v>
      </c>
      <c r="M105" s="54" t="s">
        <v>156</v>
      </c>
      <c r="N105" s="54" t="s">
        <v>156</v>
      </c>
      <c r="O105" s="54" t="s">
        <v>156</v>
      </c>
    </row>
    <row r="106" spans="1:15" x14ac:dyDescent="0.35">
      <c r="A106" s="59" t="s">
        <v>181</v>
      </c>
      <c r="B106" s="60">
        <v>45235</v>
      </c>
      <c r="C106" s="54">
        <v>82.290879486935793</v>
      </c>
      <c r="D106" s="54">
        <v>82.290879486935793</v>
      </c>
      <c r="E106"/>
      <c r="F106"/>
      <c r="G106" t="e">
        <v>#N/A</v>
      </c>
      <c r="H106" s="54">
        <v>11</v>
      </c>
      <c r="I106" s="54">
        <v>96</v>
      </c>
      <c r="J106" s="54">
        <v>106</v>
      </c>
      <c r="K106" s="54">
        <v>105</v>
      </c>
      <c r="L106" s="54" t="e">
        <v>#N/A</v>
      </c>
      <c r="M106" s="54" t="s">
        <v>156</v>
      </c>
      <c r="N106" s="54" t="s">
        <v>156</v>
      </c>
      <c r="O106" s="54" t="s">
        <v>156</v>
      </c>
    </row>
    <row r="107" spans="1:15" x14ac:dyDescent="0.35">
      <c r="A107" s="59" t="s">
        <v>181</v>
      </c>
      <c r="B107" s="60">
        <v>45242</v>
      </c>
      <c r="C107" s="54">
        <v>83.54032268212687</v>
      </c>
      <c r="D107" s="54">
        <v>83.54032268212687</v>
      </c>
      <c r="E107"/>
      <c r="F107"/>
      <c r="G107" t="e">
        <v>#N/A</v>
      </c>
      <c r="H107" s="54">
        <v>11</v>
      </c>
      <c r="I107" s="54">
        <v>97</v>
      </c>
      <c r="J107" s="54">
        <v>107</v>
      </c>
      <c r="K107" s="54">
        <v>106</v>
      </c>
      <c r="L107" s="54" t="e">
        <v>#N/A</v>
      </c>
      <c r="M107" s="54" t="s">
        <v>156</v>
      </c>
      <c r="N107" s="54" t="s">
        <v>156</v>
      </c>
      <c r="O107" s="54" t="s">
        <v>156</v>
      </c>
    </row>
    <row r="108" spans="1:15" x14ac:dyDescent="0.35">
      <c r="A108" s="59" t="s">
        <v>181</v>
      </c>
      <c r="B108" s="60">
        <v>45249</v>
      </c>
      <c r="C108" s="54">
        <v>85.029785036577977</v>
      </c>
      <c r="D108" s="54">
        <v>85.029785036577977</v>
      </c>
      <c r="E108"/>
      <c r="F108"/>
      <c r="G108" t="e">
        <v>#N/A</v>
      </c>
      <c r="H108" s="54">
        <v>11</v>
      </c>
      <c r="I108" s="54">
        <v>98</v>
      </c>
      <c r="J108" s="54">
        <v>108</v>
      </c>
      <c r="K108" s="54">
        <v>107</v>
      </c>
      <c r="L108" s="54" t="e">
        <v>#N/A</v>
      </c>
      <c r="M108" s="54" t="s">
        <v>156</v>
      </c>
      <c r="N108" s="54" t="s">
        <v>156</v>
      </c>
      <c r="O108" s="54" t="s">
        <v>156</v>
      </c>
    </row>
    <row r="109" spans="1:15" x14ac:dyDescent="0.35">
      <c r="A109" s="59" t="s">
        <v>181</v>
      </c>
      <c r="B109" s="60">
        <v>45256</v>
      </c>
      <c r="C109" s="54">
        <v>86.737546835184091</v>
      </c>
      <c r="D109" s="54">
        <v>86.737546835184091</v>
      </c>
      <c r="E109"/>
      <c r="F109"/>
      <c r="G109" t="e">
        <v>#N/A</v>
      </c>
      <c r="H109" s="54">
        <v>11</v>
      </c>
      <c r="I109" s="54">
        <v>99</v>
      </c>
      <c r="J109" s="54">
        <v>109</v>
      </c>
      <c r="K109" s="54">
        <v>108</v>
      </c>
      <c r="L109" s="54" t="e">
        <v>#N/A</v>
      </c>
      <c r="M109" s="54" t="s">
        <v>156</v>
      </c>
      <c r="N109" s="54" t="s">
        <v>156</v>
      </c>
      <c r="O109" s="54" t="s">
        <v>156</v>
      </c>
    </row>
    <row r="110" spans="1:15" x14ac:dyDescent="0.35">
      <c r="A110" s="59" t="s">
        <v>181</v>
      </c>
      <c r="B110" s="60">
        <v>45263</v>
      </c>
      <c r="C110" s="54">
        <v>88.638705065376897</v>
      </c>
      <c r="D110" s="54">
        <v>88.638705065376897</v>
      </c>
      <c r="E110"/>
      <c r="F110"/>
      <c r="G110" t="e">
        <v>#N/A</v>
      </c>
      <c r="H110" s="54">
        <v>11</v>
      </c>
      <c r="I110" s="54">
        <v>100</v>
      </c>
      <c r="J110" s="54">
        <v>110</v>
      </c>
      <c r="K110" s="54">
        <v>109</v>
      </c>
      <c r="L110" s="54" t="e">
        <v>#N/A</v>
      </c>
      <c r="M110" s="54" t="s">
        <v>156</v>
      </c>
      <c r="N110" s="54" t="s">
        <v>156</v>
      </c>
      <c r="O110" s="54" t="s">
        <v>156</v>
      </c>
    </row>
    <row r="111" spans="1:15" x14ac:dyDescent="0.35">
      <c r="A111" s="59" t="s">
        <v>181</v>
      </c>
      <c r="B111" s="60">
        <v>45270</v>
      </c>
      <c r="C111" s="54">
        <v>90.705536559124624</v>
      </c>
      <c r="D111" s="54">
        <v>90.705536559124624</v>
      </c>
      <c r="E111"/>
      <c r="F111"/>
      <c r="G111" t="e">
        <v>#N/A</v>
      </c>
      <c r="H111" s="54">
        <v>11</v>
      </c>
      <c r="I111" s="54">
        <v>101</v>
      </c>
      <c r="J111" s="54">
        <v>111</v>
      </c>
      <c r="K111" s="54">
        <v>110</v>
      </c>
      <c r="L111" s="54" t="e">
        <v>#N/A</v>
      </c>
      <c r="M111" s="54" t="s">
        <v>156</v>
      </c>
      <c r="N111" s="54" t="s">
        <v>156</v>
      </c>
      <c r="O111" s="54" t="s">
        <v>156</v>
      </c>
    </row>
    <row r="112" spans="1:15" x14ac:dyDescent="0.35">
      <c r="A112" s="59" t="s">
        <v>181</v>
      </c>
      <c r="B112" s="60">
        <v>45277</v>
      </c>
      <c r="C112" s="54">
        <v>92.907902259149282</v>
      </c>
      <c r="D112" s="54">
        <v>92.907902259149282</v>
      </c>
      <c r="E112"/>
      <c r="F112"/>
      <c r="G112" t="e">
        <v>#N/A</v>
      </c>
      <c r="H112" s="54">
        <v>11</v>
      </c>
      <c r="I112" s="54">
        <v>102</v>
      </c>
      <c r="J112" s="54">
        <v>112</v>
      </c>
      <c r="K112" s="54">
        <v>111</v>
      </c>
      <c r="L112" s="54" t="e">
        <v>#N/A</v>
      </c>
      <c r="M112" s="54" t="s">
        <v>156</v>
      </c>
      <c r="N112" s="54" t="s">
        <v>156</v>
      </c>
      <c r="O112" s="54" t="s">
        <v>156</v>
      </c>
    </row>
    <row r="113" spans="1:15" x14ac:dyDescent="0.35">
      <c r="A113" s="59" t="s">
        <v>181</v>
      </c>
      <c r="B113" s="60">
        <v>45284</v>
      </c>
      <c r="C113" s="54">
        <v>95.213686714248823</v>
      </c>
      <c r="D113" s="54">
        <v>95.213686714248823</v>
      </c>
      <c r="E113"/>
      <c r="F113"/>
      <c r="G113" t="e">
        <v>#N/A</v>
      </c>
      <c r="H113" s="54">
        <v>11</v>
      </c>
      <c r="I113" s="54">
        <v>103</v>
      </c>
      <c r="J113" s="54">
        <v>113</v>
      </c>
      <c r="K113" s="54">
        <v>112</v>
      </c>
      <c r="L113" s="54" t="e">
        <v>#N/A</v>
      </c>
      <c r="M113" s="54" t="s">
        <v>156</v>
      </c>
      <c r="N113" s="54" t="s">
        <v>156</v>
      </c>
      <c r="O113" s="54" t="s">
        <v>156</v>
      </c>
    </row>
    <row r="114" spans="1:15" x14ac:dyDescent="0.35">
      <c r="A114" s="59" t="s">
        <v>181</v>
      </c>
      <c r="B114" s="60">
        <v>45291</v>
      </c>
      <c r="C114" s="54">
        <v>97.5892663948935</v>
      </c>
      <c r="D114" s="54">
        <v>97.5892663948935</v>
      </c>
      <c r="E114"/>
      <c r="F114"/>
      <c r="G114" t="e">
        <v>#N/A</v>
      </c>
      <c r="H114" s="54">
        <v>11</v>
      </c>
      <c r="I114" s="54">
        <v>104</v>
      </c>
      <c r="J114" s="54">
        <v>114</v>
      </c>
      <c r="K114" s="54">
        <v>113</v>
      </c>
      <c r="L114" s="54" t="e">
        <v>#N/A</v>
      </c>
      <c r="M114" s="54" t="s">
        <v>156</v>
      </c>
      <c r="N114" s="54" t="s">
        <v>156</v>
      </c>
      <c r="O114" s="54" t="s">
        <v>156</v>
      </c>
    </row>
    <row r="115" spans="1:15" x14ac:dyDescent="0.35">
      <c r="A115" s="59" t="s">
        <v>181</v>
      </c>
      <c r="B115" s="60">
        <v>45298</v>
      </c>
      <c r="C115" s="54">
        <v>100.00000000000003</v>
      </c>
      <c r="D115" s="54">
        <v>100.00000000000003</v>
      </c>
      <c r="E115"/>
      <c r="F115"/>
      <c r="G115" t="e">
        <v>#N/A</v>
      </c>
      <c r="H115" s="54">
        <v>11</v>
      </c>
      <c r="I115" s="54">
        <v>105</v>
      </c>
      <c r="J115" s="54">
        <v>115</v>
      </c>
      <c r="K115" s="54">
        <v>114</v>
      </c>
      <c r="L115" s="54" t="e">
        <v>#N/A</v>
      </c>
      <c r="M115" s="54" t="s">
        <v>156</v>
      </c>
      <c r="N115" s="54" t="s">
        <v>156</v>
      </c>
      <c r="O115" s="54" t="s">
        <v>156</v>
      </c>
    </row>
    <row r="116" spans="1:15" x14ac:dyDescent="0.35">
      <c r="A116" s="59" t="s">
        <v>181</v>
      </c>
      <c r="B116" s="60">
        <v>45305</v>
      </c>
      <c r="C116" s="54">
        <v>102.41073360510647</v>
      </c>
      <c r="D116" s="54">
        <v>102.41073360510647</v>
      </c>
      <c r="E116"/>
      <c r="F116"/>
      <c r="G116" t="e">
        <v>#N/A</v>
      </c>
      <c r="H116" s="54">
        <v>11</v>
      </c>
      <c r="I116" s="54">
        <v>106</v>
      </c>
      <c r="J116" s="54">
        <v>116</v>
      </c>
      <c r="K116" s="54">
        <v>115</v>
      </c>
      <c r="L116" s="54" t="e">
        <v>#N/A</v>
      </c>
      <c r="M116" s="54" t="s">
        <v>156</v>
      </c>
      <c r="N116" s="54" t="s">
        <v>156</v>
      </c>
      <c r="O116" s="54" t="s">
        <v>156</v>
      </c>
    </row>
    <row r="117" spans="1:15" x14ac:dyDescent="0.35">
      <c r="A117" s="59" t="s">
        <v>181</v>
      </c>
      <c r="B117" s="60">
        <v>45312</v>
      </c>
      <c r="C117" s="54">
        <v>104.78631328575116</v>
      </c>
      <c r="D117" s="54">
        <v>104.78631328575116</v>
      </c>
      <c r="E117"/>
      <c r="F117"/>
      <c r="G117" t="e">
        <v>#N/A</v>
      </c>
      <c r="H117" s="54">
        <v>11</v>
      </c>
      <c r="I117" s="54">
        <v>107</v>
      </c>
      <c r="J117" s="54">
        <v>117</v>
      </c>
      <c r="K117" s="54">
        <v>116</v>
      </c>
      <c r="L117" s="54" t="e">
        <v>#N/A</v>
      </c>
      <c r="M117" s="54" t="s">
        <v>156</v>
      </c>
      <c r="N117" s="54" t="s">
        <v>156</v>
      </c>
      <c r="O117" s="54" t="s">
        <v>156</v>
      </c>
    </row>
    <row r="118" spans="1:15" x14ac:dyDescent="0.35">
      <c r="A118" s="59" t="s">
        <v>181</v>
      </c>
      <c r="B118" s="60">
        <v>45319</v>
      </c>
      <c r="C118" s="54">
        <v>107.0920977408507</v>
      </c>
      <c r="D118" s="54">
        <v>107.0920977408507</v>
      </c>
      <c r="E118"/>
      <c r="F118"/>
      <c r="G118" t="e">
        <v>#N/A</v>
      </c>
      <c r="H118" s="54">
        <v>11</v>
      </c>
      <c r="I118" s="54">
        <v>108</v>
      </c>
      <c r="J118" s="54">
        <v>118</v>
      </c>
      <c r="K118" s="54">
        <v>117</v>
      </c>
      <c r="L118" s="54" t="e">
        <v>#N/A</v>
      </c>
      <c r="M118" s="54" t="s">
        <v>156</v>
      </c>
      <c r="N118" s="54" t="s">
        <v>156</v>
      </c>
      <c r="O118" s="54" t="s">
        <v>156</v>
      </c>
    </row>
    <row r="119" spans="1:15" x14ac:dyDescent="0.35">
      <c r="A119" s="59" t="s">
        <v>181</v>
      </c>
      <c r="B119" s="60">
        <v>45326</v>
      </c>
      <c r="C119" s="54">
        <v>109.29446344087535</v>
      </c>
      <c r="D119" s="54">
        <v>109.29446344087535</v>
      </c>
      <c r="E119"/>
      <c r="F119"/>
      <c r="G119" t="e">
        <v>#N/A</v>
      </c>
      <c r="H119" s="54">
        <v>11</v>
      </c>
      <c r="I119" s="54">
        <v>109</v>
      </c>
      <c r="J119" s="54">
        <v>119</v>
      </c>
      <c r="K119" s="54">
        <v>118</v>
      </c>
      <c r="L119" s="54" t="e">
        <v>#N/A</v>
      </c>
      <c r="M119" s="54" t="s">
        <v>156</v>
      </c>
      <c r="N119" s="54" t="s">
        <v>156</v>
      </c>
      <c r="O119" s="54" t="s">
        <v>156</v>
      </c>
    </row>
    <row r="120" spans="1:15" x14ac:dyDescent="0.35">
      <c r="A120" s="59" t="s">
        <v>181</v>
      </c>
      <c r="B120" s="60">
        <v>45333</v>
      </c>
      <c r="C120" s="54">
        <v>111.36129493462309</v>
      </c>
      <c r="D120" s="54">
        <v>111.36129493462309</v>
      </c>
      <c r="E120"/>
      <c r="F120"/>
      <c r="G120" t="e">
        <v>#N/A</v>
      </c>
      <c r="H120" s="54">
        <v>11</v>
      </c>
      <c r="I120" s="54">
        <v>110</v>
      </c>
      <c r="J120" s="54">
        <v>120</v>
      </c>
      <c r="K120" s="54">
        <v>119</v>
      </c>
      <c r="L120" s="54" t="e">
        <v>#N/A</v>
      </c>
      <c r="M120" s="54" t="s">
        <v>156</v>
      </c>
      <c r="N120" s="54" t="s">
        <v>156</v>
      </c>
      <c r="O120" s="54" t="s">
        <v>156</v>
      </c>
    </row>
    <row r="121" spans="1:15" x14ac:dyDescent="0.35">
      <c r="A121" s="59" t="s">
        <v>181</v>
      </c>
      <c r="B121" s="60">
        <v>45340</v>
      </c>
      <c r="C121" s="54">
        <v>113.26245316481589</v>
      </c>
      <c r="D121" s="54">
        <v>113.26245316481589</v>
      </c>
      <c r="E121"/>
      <c r="F121"/>
      <c r="G121" t="e">
        <v>#N/A</v>
      </c>
      <c r="H121" s="54">
        <v>11</v>
      </c>
      <c r="I121" s="54">
        <v>111</v>
      </c>
      <c r="J121" s="54">
        <v>121</v>
      </c>
      <c r="K121" s="54">
        <v>120</v>
      </c>
      <c r="L121" s="54" t="e">
        <v>#N/A</v>
      </c>
      <c r="M121" s="54" t="s">
        <v>156</v>
      </c>
      <c r="N121" s="54" t="s">
        <v>156</v>
      </c>
      <c r="O121" s="54" t="s">
        <v>156</v>
      </c>
    </row>
    <row r="122" spans="1:15" x14ac:dyDescent="0.35">
      <c r="A122" s="59" t="s">
        <v>181</v>
      </c>
      <c r="B122" s="60">
        <v>45347</v>
      </c>
      <c r="C122" s="54">
        <v>114.97021496342201</v>
      </c>
      <c r="D122" s="54">
        <v>114.97021496342201</v>
      </c>
      <c r="E122"/>
      <c r="F122"/>
      <c r="G122" t="e">
        <v>#N/A</v>
      </c>
      <c r="H122" s="54">
        <v>11</v>
      </c>
      <c r="I122" s="54">
        <v>112</v>
      </c>
      <c r="J122" s="54">
        <v>122</v>
      </c>
      <c r="K122" s="54">
        <v>121</v>
      </c>
      <c r="L122" s="54" t="e">
        <v>#N/A</v>
      </c>
      <c r="M122" s="54" t="s">
        <v>156</v>
      </c>
      <c r="N122" s="54" t="s">
        <v>156</v>
      </c>
      <c r="O122" s="54" t="s">
        <v>156</v>
      </c>
    </row>
    <row r="123" spans="1:15" x14ac:dyDescent="0.35">
      <c r="A123" s="59" t="s">
        <v>181</v>
      </c>
      <c r="B123" s="60">
        <v>45354</v>
      </c>
      <c r="C123" s="54">
        <v>116.45967731787312</v>
      </c>
      <c r="D123" s="54">
        <v>116.45967731787312</v>
      </c>
      <c r="E123"/>
      <c r="F123"/>
      <c r="G123" t="e">
        <v>#N/A</v>
      </c>
      <c r="H123" s="54">
        <v>11</v>
      </c>
      <c r="I123" s="54">
        <v>113</v>
      </c>
      <c r="J123" s="54">
        <v>123</v>
      </c>
      <c r="K123" s="54">
        <v>122</v>
      </c>
      <c r="L123" s="54" t="e">
        <v>#N/A</v>
      </c>
      <c r="M123" s="54" t="s">
        <v>156</v>
      </c>
      <c r="N123" s="54" t="s">
        <v>156</v>
      </c>
      <c r="O123" s="54" t="s">
        <v>156</v>
      </c>
    </row>
    <row r="124" spans="1:15" x14ac:dyDescent="0.35">
      <c r="A124" s="59" t="s">
        <v>181</v>
      </c>
      <c r="B124" s="60">
        <v>45361</v>
      </c>
      <c r="C124" s="54">
        <v>117.70912051306419</v>
      </c>
      <c r="D124" s="54">
        <v>117.70912051306419</v>
      </c>
      <c r="E124"/>
      <c r="F124"/>
      <c r="G124" t="e">
        <v>#N/A</v>
      </c>
      <c r="H124" s="54">
        <v>11</v>
      </c>
      <c r="I124" s="54">
        <v>114</v>
      </c>
      <c r="J124" s="54">
        <v>124</v>
      </c>
      <c r="K124" s="54">
        <v>123</v>
      </c>
      <c r="L124" s="54" t="e">
        <v>#N/A</v>
      </c>
      <c r="M124" s="54" t="s">
        <v>156</v>
      </c>
      <c r="N124" s="54" t="s">
        <v>156</v>
      </c>
      <c r="O124" s="54" t="s">
        <v>156</v>
      </c>
    </row>
    <row r="125" spans="1:15" x14ac:dyDescent="0.35">
      <c r="A125" s="59" t="s">
        <v>181</v>
      </c>
      <c r="B125" s="60">
        <v>45368</v>
      </c>
      <c r="C125" s="54">
        <v>118.7003248537083</v>
      </c>
      <c r="D125" s="54">
        <v>118.7003248537083</v>
      </c>
      <c r="E125"/>
      <c r="F125"/>
      <c r="G125" t="e">
        <v>#N/A</v>
      </c>
      <c r="H125" s="54">
        <v>11</v>
      </c>
      <c r="I125" s="54">
        <v>115</v>
      </c>
      <c r="J125" s="54">
        <v>125</v>
      </c>
      <c r="K125" s="54">
        <v>124</v>
      </c>
      <c r="L125" s="54" t="e">
        <v>#N/A</v>
      </c>
      <c r="M125" s="54" t="s">
        <v>156</v>
      </c>
      <c r="N125" s="54" t="s">
        <v>156</v>
      </c>
      <c r="O125" s="54" t="s">
        <v>156</v>
      </c>
    </row>
    <row r="126" spans="1:15" x14ac:dyDescent="0.35">
      <c r="A126" s="59" t="s">
        <v>181</v>
      </c>
      <c r="B126" s="60">
        <v>45375</v>
      </c>
      <c r="C126" s="54">
        <v>119.41883634852104</v>
      </c>
      <c r="D126" s="54">
        <v>119.41883634852104</v>
      </c>
      <c r="E126"/>
      <c r="F126"/>
      <c r="G126" t="e">
        <v>#N/A</v>
      </c>
      <c r="H126" s="54">
        <v>11</v>
      </c>
      <c r="I126" s="54">
        <v>116</v>
      </c>
      <c r="J126" s="54">
        <v>126</v>
      </c>
      <c r="K126" s="54">
        <v>125</v>
      </c>
      <c r="L126" s="54" t="e">
        <v>#N/A</v>
      </c>
      <c r="M126" s="54" t="s">
        <v>156</v>
      </c>
      <c r="N126" s="54" t="s">
        <v>156</v>
      </c>
      <c r="O126" s="54" t="s">
        <v>156</v>
      </c>
    </row>
    <row r="127" spans="1:15" x14ac:dyDescent="0.35">
      <c r="A127" s="59" t="s">
        <v>181</v>
      </c>
      <c r="B127" s="60">
        <v>45382</v>
      </c>
      <c r="C127" s="54">
        <v>119.85417748196107</v>
      </c>
      <c r="D127" s="54">
        <v>119.85417748196107</v>
      </c>
      <c r="E127"/>
      <c r="F127"/>
      <c r="G127" t="e">
        <v>#N/A</v>
      </c>
      <c r="H127" s="54">
        <v>11</v>
      </c>
      <c r="I127" s="54">
        <v>117</v>
      </c>
      <c r="J127" s="54">
        <v>127</v>
      </c>
      <c r="K127" s="54">
        <v>126</v>
      </c>
      <c r="L127" s="54" t="e">
        <v>#N/A</v>
      </c>
      <c r="M127" s="54" t="s">
        <v>156</v>
      </c>
      <c r="N127" s="54" t="s">
        <v>156</v>
      </c>
      <c r="O127" s="54" t="s">
        <v>156</v>
      </c>
    </row>
    <row r="128" spans="1:15" x14ac:dyDescent="0.35">
      <c r="A128" s="59" t="s">
        <v>181</v>
      </c>
      <c r="B128" s="60">
        <v>45389</v>
      </c>
      <c r="C128" s="54">
        <v>120</v>
      </c>
      <c r="D128" s="54">
        <v>120</v>
      </c>
      <c r="E128"/>
      <c r="F128"/>
      <c r="G128" t="e">
        <v>#N/A</v>
      </c>
      <c r="H128" s="54">
        <v>11</v>
      </c>
      <c r="I128" s="54">
        <v>118</v>
      </c>
      <c r="J128" s="54">
        <v>128</v>
      </c>
      <c r="K128" s="54">
        <v>127</v>
      </c>
      <c r="L128" s="54" t="e">
        <v>#N/A</v>
      </c>
      <c r="M128" s="54" t="s">
        <v>156</v>
      </c>
      <c r="N128" s="54" t="s">
        <v>156</v>
      </c>
      <c r="O128" s="54" t="s">
        <v>156</v>
      </c>
    </row>
    <row r="129" spans="1:15" x14ac:dyDescent="0.35">
      <c r="A129" s="59" t="s">
        <v>181</v>
      </c>
      <c r="B129" s="60">
        <v>45396</v>
      </c>
      <c r="C129" s="54">
        <v>119.85417748196107</v>
      </c>
      <c r="D129" s="54">
        <v>119.85417748196107</v>
      </c>
      <c r="E129"/>
      <c r="F129"/>
      <c r="G129" t="e">
        <v>#N/A</v>
      </c>
      <c r="H129" s="54">
        <v>11</v>
      </c>
      <c r="I129" s="54">
        <v>119</v>
      </c>
      <c r="J129" s="54">
        <v>129</v>
      </c>
      <c r="K129" s="54">
        <v>128</v>
      </c>
      <c r="L129" s="54" t="e">
        <v>#N/A</v>
      </c>
      <c r="M129" s="54" t="s">
        <v>156</v>
      </c>
      <c r="N129" s="54" t="s">
        <v>156</v>
      </c>
      <c r="O129" s="54" t="s">
        <v>156</v>
      </c>
    </row>
    <row r="130" spans="1:15" x14ac:dyDescent="0.35">
      <c r="A130" s="59" t="s">
        <v>181</v>
      </c>
      <c r="B130" s="60">
        <v>45403</v>
      </c>
      <c r="C130" s="54">
        <v>119.41883634852104</v>
      </c>
      <c r="D130" s="54">
        <v>119.41883634852104</v>
      </c>
      <c r="E130"/>
      <c r="F130"/>
      <c r="G130" t="e">
        <v>#N/A</v>
      </c>
      <c r="H130" s="54">
        <v>11</v>
      </c>
      <c r="I130" s="54">
        <v>120</v>
      </c>
      <c r="J130" s="54">
        <v>130</v>
      </c>
      <c r="K130" s="54">
        <v>129</v>
      </c>
      <c r="L130" s="54" t="e">
        <v>#N/A</v>
      </c>
      <c r="M130" s="54" t="s">
        <v>156</v>
      </c>
      <c r="N130" s="54" t="s">
        <v>156</v>
      </c>
      <c r="O130" s="54" t="s">
        <v>156</v>
      </c>
    </row>
    <row r="131" spans="1:15" x14ac:dyDescent="0.35">
      <c r="A131" s="59" t="s">
        <v>181</v>
      </c>
      <c r="B131" s="60">
        <v>45410</v>
      </c>
      <c r="C131" s="54">
        <v>118.70032485370831</v>
      </c>
      <c r="D131" s="54">
        <v>118.70032485370831</v>
      </c>
      <c r="E131"/>
      <c r="F131"/>
      <c r="G131" t="e">
        <v>#N/A</v>
      </c>
      <c r="H131" s="54">
        <v>11</v>
      </c>
      <c r="I131" s="54">
        <v>121</v>
      </c>
      <c r="J131" s="54">
        <v>131</v>
      </c>
      <c r="K131" s="54">
        <v>130</v>
      </c>
      <c r="L131" s="54" t="e">
        <v>#N/A</v>
      </c>
      <c r="M131" s="54" t="s">
        <v>156</v>
      </c>
      <c r="N131" s="54" t="s">
        <v>156</v>
      </c>
      <c r="O131" s="54" t="s">
        <v>156</v>
      </c>
    </row>
    <row r="132" spans="1:15" x14ac:dyDescent="0.35">
      <c r="A132" s="59" t="s">
        <v>181</v>
      </c>
      <c r="B132" s="60">
        <v>45417</v>
      </c>
      <c r="C132" s="54">
        <v>117.70912051306419</v>
      </c>
      <c r="D132" s="54">
        <v>117.70912051306419</v>
      </c>
      <c r="E132"/>
      <c r="F132"/>
      <c r="G132" t="e">
        <v>#N/A</v>
      </c>
      <c r="H132" s="54">
        <v>11</v>
      </c>
      <c r="I132" s="54">
        <v>122</v>
      </c>
      <c r="J132" s="54">
        <v>132</v>
      </c>
      <c r="K132" s="54">
        <v>131</v>
      </c>
      <c r="L132" s="54" t="e">
        <v>#N/A</v>
      </c>
      <c r="M132" s="54" t="s">
        <v>156</v>
      </c>
      <c r="N132" s="54" t="s">
        <v>156</v>
      </c>
      <c r="O132" s="54" t="s">
        <v>156</v>
      </c>
    </row>
    <row r="133" spans="1:15" x14ac:dyDescent="0.35">
      <c r="A133" s="59" t="s">
        <v>181</v>
      </c>
      <c r="B133" s="60">
        <v>45424</v>
      </c>
      <c r="C133" s="54">
        <v>116.45967731787313</v>
      </c>
      <c r="D133" s="54">
        <v>116.45967731787313</v>
      </c>
      <c r="E133"/>
      <c r="F133"/>
      <c r="G133" t="e">
        <v>#N/A</v>
      </c>
      <c r="H133" s="54">
        <v>11</v>
      </c>
      <c r="I133" s="54">
        <v>123</v>
      </c>
      <c r="J133" s="54">
        <v>133</v>
      </c>
      <c r="K133" s="54">
        <v>132</v>
      </c>
      <c r="L133" s="54" t="e">
        <v>#N/A</v>
      </c>
      <c r="M133" s="54" t="s">
        <v>156</v>
      </c>
      <c r="N133" s="54" t="s">
        <v>156</v>
      </c>
      <c r="O133" s="54" t="s">
        <v>156</v>
      </c>
    </row>
    <row r="134" spans="1:15" x14ac:dyDescent="0.35">
      <c r="A134" s="59" t="s">
        <v>181</v>
      </c>
      <c r="B134" s="60">
        <v>45431</v>
      </c>
      <c r="C134" s="54">
        <v>114.97021496342202</v>
      </c>
      <c r="D134" s="54">
        <v>114.97021496342202</v>
      </c>
      <c r="E134"/>
      <c r="F134"/>
      <c r="G134" t="e">
        <v>#N/A</v>
      </c>
      <c r="H134" s="54">
        <v>11</v>
      </c>
      <c r="I134" s="54">
        <v>124</v>
      </c>
      <c r="J134" s="54">
        <v>134</v>
      </c>
      <c r="K134" s="54">
        <v>133</v>
      </c>
      <c r="L134" s="54" t="e">
        <v>#N/A</v>
      </c>
      <c r="M134" s="54" t="s">
        <v>156</v>
      </c>
      <c r="N134" s="54" t="s">
        <v>156</v>
      </c>
      <c r="O134" s="54" t="s">
        <v>156</v>
      </c>
    </row>
    <row r="135" spans="1:15" x14ac:dyDescent="0.35">
      <c r="A135" s="59" t="s">
        <v>181</v>
      </c>
      <c r="B135" s="60">
        <v>45438</v>
      </c>
      <c r="C135" s="54">
        <v>113.26245316481592</v>
      </c>
      <c r="D135" s="54">
        <v>113.26245316481592</v>
      </c>
      <c r="E135"/>
      <c r="F135"/>
      <c r="G135" t="e">
        <v>#N/A</v>
      </c>
      <c r="H135" s="54">
        <v>11</v>
      </c>
      <c r="I135" s="54">
        <v>125</v>
      </c>
      <c r="J135" s="54">
        <v>135</v>
      </c>
      <c r="K135" s="54">
        <v>134</v>
      </c>
      <c r="L135" s="54" t="e">
        <v>#N/A</v>
      </c>
      <c r="M135" s="54" t="s">
        <v>156</v>
      </c>
      <c r="N135" s="54" t="s">
        <v>156</v>
      </c>
      <c r="O135" s="54" t="s">
        <v>156</v>
      </c>
    </row>
    <row r="136" spans="1:15" x14ac:dyDescent="0.35">
      <c r="A136" s="59" t="s">
        <v>181</v>
      </c>
      <c r="B136" s="60">
        <v>45445</v>
      </c>
      <c r="C136" s="54">
        <v>111.36129493462315</v>
      </c>
      <c r="D136" s="54">
        <v>111.36129493462315</v>
      </c>
      <c r="E136"/>
      <c r="F136"/>
      <c r="G136" t="e">
        <v>#N/A</v>
      </c>
      <c r="H136" s="54">
        <v>11</v>
      </c>
      <c r="I136" s="54">
        <v>126</v>
      </c>
      <c r="J136" s="54">
        <v>136</v>
      </c>
      <c r="K136" s="54">
        <v>135</v>
      </c>
      <c r="L136" s="54" t="e">
        <v>#N/A</v>
      </c>
      <c r="M136" s="54" t="s">
        <v>156</v>
      </c>
      <c r="N136" s="54" t="s">
        <v>156</v>
      </c>
      <c r="O136" s="54" t="s">
        <v>156</v>
      </c>
    </row>
    <row r="137" spans="1:15" x14ac:dyDescent="0.35">
      <c r="A137" s="59" t="s">
        <v>181</v>
      </c>
      <c r="B137" s="60">
        <v>45452</v>
      </c>
      <c r="C137" s="54">
        <v>109.29446344087538</v>
      </c>
      <c r="D137" s="54">
        <v>109.29446344087538</v>
      </c>
      <c r="E137"/>
      <c r="F137"/>
      <c r="G137" t="e">
        <v>#N/A</v>
      </c>
      <c r="H137" s="54">
        <v>11</v>
      </c>
      <c r="I137" s="54">
        <v>127</v>
      </c>
      <c r="J137" s="54">
        <v>137</v>
      </c>
      <c r="K137" s="54">
        <v>136</v>
      </c>
      <c r="L137" s="54" t="e">
        <v>#N/A</v>
      </c>
      <c r="M137" s="54" t="s">
        <v>156</v>
      </c>
      <c r="N137" s="54" t="s">
        <v>156</v>
      </c>
      <c r="O137" s="54" t="s">
        <v>156</v>
      </c>
    </row>
    <row r="138" spans="1:15" x14ac:dyDescent="0.35">
      <c r="A138" s="59" t="s">
        <v>181</v>
      </c>
      <c r="B138" s="60">
        <v>45459</v>
      </c>
      <c r="C138" s="54">
        <v>107.09209774085073</v>
      </c>
      <c r="D138" s="54">
        <v>107.09209774085073</v>
      </c>
      <c r="E138"/>
      <c r="F138"/>
      <c r="G138" t="e">
        <v>#N/A</v>
      </c>
      <c r="H138" s="54">
        <v>11</v>
      </c>
      <c r="I138" s="54">
        <v>128</v>
      </c>
      <c r="J138" s="54">
        <v>138</v>
      </c>
      <c r="K138" s="54">
        <v>137</v>
      </c>
      <c r="L138" s="54" t="e">
        <v>#N/A</v>
      </c>
      <c r="M138" s="54" t="s">
        <v>156</v>
      </c>
      <c r="N138" s="54" t="s">
        <v>156</v>
      </c>
      <c r="O138" s="54" t="s">
        <v>156</v>
      </c>
    </row>
    <row r="139" spans="1:15" x14ac:dyDescent="0.35">
      <c r="A139" s="59" t="s">
        <v>181</v>
      </c>
      <c r="B139" s="60">
        <v>45466</v>
      </c>
      <c r="C139" s="54">
        <v>104.78631328575118</v>
      </c>
      <c r="D139" s="54">
        <v>104.78631328575118</v>
      </c>
      <c r="E139"/>
      <c r="F139"/>
      <c r="G139" t="e">
        <v>#N/A</v>
      </c>
      <c r="H139" s="54">
        <v>11</v>
      </c>
      <c r="I139" s="54">
        <v>129</v>
      </c>
      <c r="J139" s="54">
        <v>139</v>
      </c>
      <c r="K139" s="54">
        <v>138</v>
      </c>
      <c r="L139" s="54" t="e">
        <v>#N/A</v>
      </c>
      <c r="M139" s="54" t="s">
        <v>156</v>
      </c>
      <c r="N139" s="54" t="s">
        <v>156</v>
      </c>
      <c r="O139" s="54" t="s">
        <v>156</v>
      </c>
    </row>
    <row r="140" spans="1:15" x14ac:dyDescent="0.35">
      <c r="A140" s="59" t="s">
        <v>181</v>
      </c>
      <c r="B140" s="60">
        <v>45473</v>
      </c>
      <c r="C140" s="54">
        <v>102.4107336051065</v>
      </c>
      <c r="D140" s="54">
        <v>102.4107336051065</v>
      </c>
      <c r="E140"/>
      <c r="F140"/>
      <c r="G140" t="e">
        <v>#N/A</v>
      </c>
      <c r="H140" s="54">
        <v>11</v>
      </c>
      <c r="I140" s="54">
        <v>130</v>
      </c>
      <c r="J140" s="54">
        <v>140</v>
      </c>
      <c r="K140" s="54">
        <v>139</v>
      </c>
      <c r="L140" s="54" t="e">
        <v>#N/A</v>
      </c>
      <c r="M140" s="54" t="s">
        <v>156</v>
      </c>
      <c r="N140" s="54" t="s">
        <v>156</v>
      </c>
      <c r="O140" s="54" t="s">
        <v>156</v>
      </c>
    </row>
    <row r="141" spans="1:15" x14ac:dyDescent="0.35">
      <c r="A141" s="59" t="s">
        <v>181</v>
      </c>
      <c r="B141" s="60">
        <v>45480</v>
      </c>
      <c r="C141" s="54">
        <v>100.00000000000001</v>
      </c>
      <c r="D141" s="54">
        <v>100.00000000000001</v>
      </c>
      <c r="E141"/>
      <c r="F141"/>
      <c r="G141" t="e">
        <v>#N/A</v>
      </c>
      <c r="H141" s="54">
        <v>11</v>
      </c>
      <c r="I141" s="54">
        <v>131</v>
      </c>
      <c r="J141" s="54">
        <v>141</v>
      </c>
      <c r="K141" s="54">
        <v>140</v>
      </c>
      <c r="L141" s="54" t="e">
        <v>#N/A</v>
      </c>
      <c r="M141" s="54" t="s">
        <v>156</v>
      </c>
      <c r="N141" s="54" t="s">
        <v>156</v>
      </c>
      <c r="O141" s="54" t="s">
        <v>156</v>
      </c>
    </row>
    <row r="142" spans="1:15" x14ac:dyDescent="0.35">
      <c r="A142" s="59" t="s">
        <v>181</v>
      </c>
      <c r="B142" s="60">
        <v>45487</v>
      </c>
      <c r="C142" s="54">
        <v>97.589266394893528</v>
      </c>
      <c r="D142" s="54">
        <v>97.589266394893528</v>
      </c>
      <c r="E142"/>
      <c r="F142"/>
      <c r="G142" t="e">
        <v>#N/A</v>
      </c>
      <c r="H142" s="54">
        <v>11</v>
      </c>
      <c r="I142" s="54">
        <v>132</v>
      </c>
      <c r="J142" s="54">
        <v>142</v>
      </c>
      <c r="K142" s="54">
        <v>141</v>
      </c>
      <c r="L142" s="54" t="e">
        <v>#N/A</v>
      </c>
      <c r="M142" s="54" t="s">
        <v>156</v>
      </c>
      <c r="N142" s="54" t="s">
        <v>156</v>
      </c>
      <c r="O142" s="54" t="s">
        <v>156</v>
      </c>
    </row>
    <row r="143" spans="1:15" x14ac:dyDescent="0.35">
      <c r="A143" s="59" t="s">
        <v>181</v>
      </c>
      <c r="B143" s="60">
        <v>45494</v>
      </c>
      <c r="C143" s="54">
        <v>95.213686714248837</v>
      </c>
      <c r="D143" s="54">
        <v>95.213686714248837</v>
      </c>
      <c r="E143"/>
      <c r="F143"/>
      <c r="G143" t="e">
        <v>#N/A</v>
      </c>
      <c r="H143" s="54">
        <v>11</v>
      </c>
      <c r="I143" s="54">
        <v>133</v>
      </c>
      <c r="J143" s="54">
        <v>143</v>
      </c>
      <c r="K143" s="54">
        <v>142</v>
      </c>
      <c r="L143" s="54" t="e">
        <v>#N/A</v>
      </c>
      <c r="M143" s="54" t="s">
        <v>156</v>
      </c>
      <c r="N143" s="54" t="s">
        <v>156</v>
      </c>
      <c r="O143" s="54" t="s">
        <v>156</v>
      </c>
    </row>
    <row r="144" spans="1:15" x14ac:dyDescent="0.35">
      <c r="A144" s="59" t="s">
        <v>181</v>
      </c>
      <c r="B144" s="60">
        <v>45501</v>
      </c>
      <c r="C144" s="54">
        <v>92.907902259149296</v>
      </c>
      <c r="D144" s="54">
        <v>92.907902259149296</v>
      </c>
      <c r="E144"/>
      <c r="F144"/>
      <c r="G144" t="e">
        <v>#N/A</v>
      </c>
      <c r="H144" s="54">
        <v>11</v>
      </c>
      <c r="I144" s="54">
        <v>134</v>
      </c>
      <c r="J144" s="54">
        <v>144</v>
      </c>
      <c r="K144" s="54">
        <v>143</v>
      </c>
      <c r="L144" s="54" t="e">
        <v>#N/A</v>
      </c>
      <c r="M144" s="54" t="s">
        <v>156</v>
      </c>
      <c r="N144" s="54" t="s">
        <v>156</v>
      </c>
      <c r="O144" s="54" t="s">
        <v>156</v>
      </c>
    </row>
    <row r="145" spans="1:15" x14ac:dyDescent="0.35">
      <c r="A145" s="59" t="s">
        <v>181</v>
      </c>
      <c r="B145" s="60">
        <v>45508</v>
      </c>
      <c r="C145" s="54">
        <v>90.705536559124624</v>
      </c>
      <c r="D145" s="54">
        <v>90.705536559124624</v>
      </c>
      <c r="E145"/>
      <c r="F145"/>
      <c r="G145" t="e">
        <v>#N/A</v>
      </c>
      <c r="H145" s="54">
        <v>11</v>
      </c>
      <c r="I145" s="54">
        <v>135</v>
      </c>
      <c r="J145" s="54">
        <v>145</v>
      </c>
      <c r="K145" s="54">
        <v>144</v>
      </c>
      <c r="L145" s="54" t="e">
        <v>#N/A</v>
      </c>
      <c r="M145" s="54" t="s">
        <v>156</v>
      </c>
      <c r="N145" s="54" t="s">
        <v>156</v>
      </c>
      <c r="O145" s="54" t="s">
        <v>156</v>
      </c>
    </row>
    <row r="146" spans="1:15" x14ac:dyDescent="0.35">
      <c r="A146" s="59" t="s">
        <v>181</v>
      </c>
      <c r="B146" s="60">
        <v>45515</v>
      </c>
      <c r="C146" s="54">
        <v>88.638705065376911</v>
      </c>
      <c r="D146" s="54">
        <v>88.638705065376911</v>
      </c>
      <c r="E146"/>
      <c r="F146"/>
      <c r="G146" t="e">
        <v>#N/A</v>
      </c>
      <c r="H146" s="54">
        <v>11</v>
      </c>
      <c r="I146" s="54">
        <v>136</v>
      </c>
      <c r="J146" s="54">
        <v>146</v>
      </c>
      <c r="K146" s="54">
        <v>145</v>
      </c>
      <c r="L146" s="54" t="e">
        <v>#N/A</v>
      </c>
      <c r="M146" s="54" t="s">
        <v>156</v>
      </c>
      <c r="N146" s="54" t="s">
        <v>156</v>
      </c>
      <c r="O146" s="54" t="s">
        <v>156</v>
      </c>
    </row>
    <row r="147" spans="1:15" x14ac:dyDescent="0.35">
      <c r="A147" s="59" t="s">
        <v>181</v>
      </c>
      <c r="B147" s="60">
        <v>45522</v>
      </c>
      <c r="C147" s="54">
        <v>86.737546835184105</v>
      </c>
      <c r="D147" s="54">
        <v>86.737546835184105</v>
      </c>
      <c r="E147"/>
      <c r="F147"/>
      <c r="G147" t="e">
        <v>#N/A</v>
      </c>
      <c r="H147" s="54">
        <v>11</v>
      </c>
      <c r="I147" s="54">
        <v>137</v>
      </c>
      <c r="J147" s="54">
        <v>147</v>
      </c>
      <c r="K147" s="54">
        <v>146</v>
      </c>
      <c r="L147" s="54" t="e">
        <v>#N/A</v>
      </c>
      <c r="M147" s="54" t="s">
        <v>156</v>
      </c>
      <c r="N147" s="54" t="s">
        <v>156</v>
      </c>
      <c r="O147" s="54" t="s">
        <v>156</v>
      </c>
    </row>
    <row r="148" spans="1:15" x14ac:dyDescent="0.35">
      <c r="A148" s="59" t="s">
        <v>181</v>
      </c>
      <c r="B148" s="60">
        <v>45529</v>
      </c>
      <c r="C148" s="54">
        <v>85.029785036577962</v>
      </c>
      <c r="D148" s="54">
        <v>85.029785036577962</v>
      </c>
      <c r="E148"/>
      <c r="F148"/>
      <c r="G148" t="e">
        <v>#N/A</v>
      </c>
      <c r="H148" s="54">
        <v>11</v>
      </c>
      <c r="I148" s="54">
        <v>138</v>
      </c>
      <c r="J148" s="54">
        <v>148</v>
      </c>
      <c r="K148" s="54">
        <v>147</v>
      </c>
      <c r="L148" s="54" t="e">
        <v>#N/A</v>
      </c>
      <c r="M148" s="54" t="s">
        <v>156</v>
      </c>
      <c r="N148" s="54" t="s">
        <v>156</v>
      </c>
      <c r="O148" s="54" t="s">
        <v>156</v>
      </c>
    </row>
    <row r="149" spans="1:15" x14ac:dyDescent="0.35">
      <c r="A149" s="59" t="s">
        <v>181</v>
      </c>
      <c r="B149" s="60">
        <v>45536</v>
      </c>
      <c r="C149" s="54">
        <v>83.540322682126885</v>
      </c>
      <c r="D149" s="54">
        <v>83.540322682126885</v>
      </c>
      <c r="E149"/>
      <c r="F149"/>
      <c r="G149" t="e">
        <v>#N/A</v>
      </c>
      <c r="H149" s="54">
        <v>11</v>
      </c>
      <c r="I149" s="54">
        <v>139</v>
      </c>
      <c r="J149" s="54">
        <v>149</v>
      </c>
      <c r="K149" s="54">
        <v>148</v>
      </c>
      <c r="L149" s="54" t="e">
        <v>#N/A</v>
      </c>
      <c r="M149" s="54" t="s">
        <v>156</v>
      </c>
      <c r="N149" s="54" t="s">
        <v>156</v>
      </c>
      <c r="O149" s="54" t="s">
        <v>156</v>
      </c>
    </row>
    <row r="150" spans="1:15" x14ac:dyDescent="0.35">
      <c r="A150" s="59" t="s">
        <v>181</v>
      </c>
      <c r="B150" s="60">
        <v>45543</v>
      </c>
      <c r="C150" s="54">
        <v>82.290879486935808</v>
      </c>
      <c r="D150" s="54">
        <v>82.290879486935808</v>
      </c>
      <c r="E150"/>
      <c r="F150"/>
      <c r="G150" t="e">
        <v>#N/A</v>
      </c>
      <c r="H150" s="54">
        <v>11</v>
      </c>
      <c r="I150" s="54">
        <v>140</v>
      </c>
      <c r="J150" s="54">
        <v>150</v>
      </c>
      <c r="K150" s="54">
        <v>149</v>
      </c>
      <c r="L150" s="54" t="e">
        <v>#N/A</v>
      </c>
      <c r="M150" s="54" t="s">
        <v>156</v>
      </c>
      <c r="N150" s="54" t="s">
        <v>156</v>
      </c>
      <c r="O150" s="54" t="s">
        <v>156</v>
      </c>
    </row>
    <row r="151" spans="1:15" x14ac:dyDescent="0.35">
      <c r="A151" s="59" t="s">
        <v>181</v>
      </c>
      <c r="B151" s="60">
        <v>45550</v>
      </c>
      <c r="C151" s="54">
        <v>81.299675146291719</v>
      </c>
      <c r="D151" s="54">
        <v>81.299675146291719</v>
      </c>
      <c r="E151"/>
      <c r="F151"/>
      <c r="G151" t="e">
        <v>#N/A</v>
      </c>
      <c r="H151" s="54">
        <v>11</v>
      </c>
      <c r="I151" s="54">
        <v>141</v>
      </c>
      <c r="J151" s="54">
        <v>151</v>
      </c>
      <c r="K151" s="54">
        <v>150</v>
      </c>
      <c r="L151" s="54" t="e">
        <v>#N/A</v>
      </c>
      <c r="M151" s="54" t="s">
        <v>156</v>
      </c>
      <c r="N151" s="54" t="s">
        <v>156</v>
      </c>
      <c r="O151" s="54" t="s">
        <v>156</v>
      </c>
    </row>
    <row r="152" spans="1:15" x14ac:dyDescent="0.35">
      <c r="A152" s="59" t="s">
        <v>181</v>
      </c>
      <c r="B152" s="60">
        <v>45557</v>
      </c>
      <c r="C152" s="54">
        <v>80.58116365147896</v>
      </c>
      <c r="D152" s="54">
        <v>80.58116365147896</v>
      </c>
      <c r="E152"/>
      <c r="F152"/>
      <c r="G152" t="e">
        <v>#N/A</v>
      </c>
      <c r="H152" s="54">
        <v>11</v>
      </c>
      <c r="I152" s="54">
        <v>142</v>
      </c>
      <c r="J152" s="54">
        <v>152</v>
      </c>
      <c r="K152" s="54">
        <v>151</v>
      </c>
      <c r="L152" s="54" t="e">
        <v>#N/A</v>
      </c>
      <c r="M152" s="54" t="s">
        <v>156</v>
      </c>
      <c r="N152" s="54" t="s">
        <v>156</v>
      </c>
      <c r="O152" s="54" t="s">
        <v>156</v>
      </c>
    </row>
    <row r="153" spans="1:15" x14ac:dyDescent="0.35">
      <c r="A153" s="59" t="s">
        <v>181</v>
      </c>
      <c r="B153" s="60">
        <v>45564</v>
      </c>
      <c r="C153" s="54">
        <v>80.145822518038926</v>
      </c>
      <c r="D153" s="54">
        <v>80.145822518038926</v>
      </c>
      <c r="E153"/>
      <c r="F153"/>
      <c r="G153" t="e">
        <v>#N/A</v>
      </c>
      <c r="H153" s="54">
        <v>11</v>
      </c>
      <c r="I153" s="54">
        <v>143</v>
      </c>
      <c r="J153" s="54">
        <v>153</v>
      </c>
      <c r="K153" s="54">
        <v>152</v>
      </c>
      <c r="L153" s="54" t="e">
        <v>#N/A</v>
      </c>
      <c r="M153" s="54" t="s">
        <v>156</v>
      </c>
      <c r="N153" s="54" t="s">
        <v>156</v>
      </c>
      <c r="O153" s="54" t="s">
        <v>156</v>
      </c>
    </row>
    <row r="154" spans="1:15" x14ac:dyDescent="0.35">
      <c r="A154" s="59" t="s">
        <v>181</v>
      </c>
      <c r="B154" s="60">
        <v>45571</v>
      </c>
      <c r="C154" s="54">
        <v>80</v>
      </c>
      <c r="D154" s="54">
        <v>80</v>
      </c>
      <c r="E154"/>
      <c r="F154"/>
      <c r="G154" t="e">
        <v>#N/A</v>
      </c>
      <c r="H154" s="54">
        <v>11</v>
      </c>
      <c r="I154" s="54">
        <v>144</v>
      </c>
      <c r="J154" s="54">
        <v>154</v>
      </c>
      <c r="K154" s="54">
        <v>153</v>
      </c>
      <c r="L154" s="54" t="e">
        <v>#N/A</v>
      </c>
      <c r="M154" s="54" t="s">
        <v>156</v>
      </c>
      <c r="N154" s="54" t="s">
        <v>156</v>
      </c>
      <c r="O154" s="54" t="s">
        <v>156</v>
      </c>
    </row>
    <row r="155" spans="1:15" x14ac:dyDescent="0.35">
      <c r="A155" s="59" t="s">
        <v>181</v>
      </c>
      <c r="B155" s="60">
        <v>45578</v>
      </c>
      <c r="C155" s="54">
        <v>80.145822518038912</v>
      </c>
      <c r="D155" s="54">
        <v>80.145822518038912</v>
      </c>
      <c r="E155"/>
      <c r="F155"/>
      <c r="G155" t="e">
        <v>#N/A</v>
      </c>
      <c r="H155" s="54">
        <v>11</v>
      </c>
      <c r="I155" s="54">
        <v>145</v>
      </c>
      <c r="J155" s="54">
        <v>155</v>
      </c>
      <c r="K155" s="54">
        <v>154</v>
      </c>
      <c r="L155" s="54" t="e">
        <v>#N/A</v>
      </c>
      <c r="M155" s="54" t="s">
        <v>156</v>
      </c>
      <c r="N155" s="54" t="s">
        <v>156</v>
      </c>
      <c r="O155" s="54" t="s">
        <v>156</v>
      </c>
    </row>
    <row r="156" spans="1:15" x14ac:dyDescent="0.35">
      <c r="A156" s="59" t="s">
        <v>181</v>
      </c>
      <c r="B156" s="60">
        <v>45585</v>
      </c>
      <c r="C156" s="54">
        <v>80.58116365147896</v>
      </c>
      <c r="D156" s="54">
        <v>80.58116365147896</v>
      </c>
      <c r="E156"/>
      <c r="F156"/>
      <c r="G156" t="e">
        <v>#N/A</v>
      </c>
      <c r="H156" s="54">
        <v>11</v>
      </c>
      <c r="I156" s="54">
        <v>146</v>
      </c>
      <c r="J156" s="54">
        <v>156</v>
      </c>
      <c r="K156" s="54">
        <v>155</v>
      </c>
      <c r="L156" s="54" t="e">
        <v>#N/A</v>
      </c>
      <c r="M156" s="54" t="s">
        <v>156</v>
      </c>
      <c r="N156" s="54" t="s">
        <v>156</v>
      </c>
      <c r="O156" s="54" t="s">
        <v>156</v>
      </c>
    </row>
    <row r="157" spans="1:15" x14ac:dyDescent="0.35">
      <c r="A157" s="59" t="s">
        <v>181</v>
      </c>
      <c r="B157" s="60">
        <v>45592</v>
      </c>
      <c r="C157" s="54">
        <v>81.29967514629169</v>
      </c>
      <c r="D157" s="54">
        <v>81.29967514629169</v>
      </c>
      <c r="E157"/>
      <c r="F157"/>
      <c r="G157" t="e">
        <v>#N/A</v>
      </c>
      <c r="H157" s="54">
        <v>11</v>
      </c>
      <c r="I157" s="54">
        <v>147</v>
      </c>
      <c r="J157" s="54">
        <v>157</v>
      </c>
      <c r="K157" s="54">
        <v>156</v>
      </c>
      <c r="L157" s="54" t="e">
        <v>#N/A</v>
      </c>
      <c r="M157" s="54" t="s">
        <v>156</v>
      </c>
      <c r="N157" s="54" t="s">
        <v>156</v>
      </c>
      <c r="O157" s="54" t="s">
        <v>156</v>
      </c>
    </row>
    <row r="158" spans="1:15" x14ac:dyDescent="0.35">
      <c r="A158" s="59" t="s">
        <v>181</v>
      </c>
      <c r="B158" s="60">
        <v>45599</v>
      </c>
      <c r="C158" s="54">
        <v>82.290879486935793</v>
      </c>
      <c r="D158" s="54">
        <v>82.290879486935793</v>
      </c>
      <c r="E158"/>
      <c r="F158"/>
      <c r="G158" t="e">
        <v>#N/A</v>
      </c>
      <c r="H158" s="54">
        <v>11</v>
      </c>
      <c r="I158" s="54">
        <v>148</v>
      </c>
      <c r="J158" s="54">
        <v>158</v>
      </c>
      <c r="K158" s="54">
        <v>157</v>
      </c>
      <c r="L158" s="54" t="e">
        <v>#N/A</v>
      </c>
      <c r="M158" s="54" t="s">
        <v>156</v>
      </c>
      <c r="N158" s="54" t="s">
        <v>156</v>
      </c>
      <c r="O158" s="54" t="s">
        <v>156</v>
      </c>
    </row>
    <row r="159" spans="1:15" x14ac:dyDescent="0.35">
      <c r="A159" s="59" t="s">
        <v>181</v>
      </c>
      <c r="B159" s="60">
        <v>45606</v>
      </c>
      <c r="C159" s="54">
        <v>83.54032268212687</v>
      </c>
      <c r="D159" s="54">
        <v>83.54032268212687</v>
      </c>
      <c r="E159"/>
      <c r="F159"/>
      <c r="G159" t="e">
        <v>#N/A</v>
      </c>
      <c r="H159" s="54">
        <v>11</v>
      </c>
      <c r="I159" s="54">
        <v>149</v>
      </c>
      <c r="J159" s="54">
        <v>159</v>
      </c>
      <c r="K159" s="54">
        <v>158</v>
      </c>
      <c r="L159" s="54" t="e">
        <v>#N/A</v>
      </c>
      <c r="M159" s="54" t="s">
        <v>156</v>
      </c>
      <c r="N159" s="54" t="s">
        <v>156</v>
      </c>
      <c r="O159" s="54" t="s">
        <v>156</v>
      </c>
    </row>
    <row r="160" spans="1:15" x14ac:dyDescent="0.35">
      <c r="A160" s="59" t="s">
        <v>181</v>
      </c>
      <c r="B160" s="60">
        <v>45613</v>
      </c>
      <c r="C160" s="54">
        <v>85.029785036577948</v>
      </c>
      <c r="D160" s="54">
        <v>85.029785036577948</v>
      </c>
      <c r="E160"/>
      <c r="F160"/>
      <c r="G160" t="e">
        <v>#N/A</v>
      </c>
      <c r="H160" s="54">
        <v>11</v>
      </c>
      <c r="I160" s="54">
        <v>150</v>
      </c>
      <c r="J160" s="54">
        <v>160</v>
      </c>
      <c r="K160" s="54">
        <v>159</v>
      </c>
      <c r="L160" s="54" t="e">
        <v>#N/A</v>
      </c>
      <c r="M160" s="54" t="s">
        <v>156</v>
      </c>
      <c r="N160" s="54" t="s">
        <v>156</v>
      </c>
      <c r="O160" s="54" t="s">
        <v>156</v>
      </c>
    </row>
    <row r="161" spans="1:15" x14ac:dyDescent="0.35">
      <c r="A161" s="59" t="s">
        <v>181</v>
      </c>
      <c r="B161" s="60">
        <v>45620</v>
      </c>
      <c r="C161" s="54">
        <v>86.737546835184077</v>
      </c>
      <c r="D161" s="54">
        <v>86.737546835184077</v>
      </c>
      <c r="E161"/>
      <c r="F161"/>
      <c r="G161" t="e">
        <v>#N/A</v>
      </c>
      <c r="H161" s="54">
        <v>11</v>
      </c>
      <c r="I161" s="54">
        <v>151</v>
      </c>
      <c r="J161" s="54">
        <v>161</v>
      </c>
      <c r="K161" s="54">
        <v>160</v>
      </c>
      <c r="L161" s="54" t="e">
        <v>#N/A</v>
      </c>
      <c r="M161" s="54" t="s">
        <v>156</v>
      </c>
      <c r="N161" s="54" t="s">
        <v>156</v>
      </c>
      <c r="O161" s="54" t="s">
        <v>156</v>
      </c>
    </row>
    <row r="162" spans="1:15" x14ac:dyDescent="0.35">
      <c r="A162" s="59" t="s">
        <v>181</v>
      </c>
      <c r="B162" s="60">
        <v>45627</v>
      </c>
      <c r="C162" s="54">
        <v>88.638705065376882</v>
      </c>
      <c r="D162" s="54">
        <v>88.638705065376882</v>
      </c>
      <c r="E162"/>
      <c r="F162"/>
      <c r="G162" t="e">
        <v>#N/A</v>
      </c>
      <c r="H162" s="54">
        <v>11</v>
      </c>
      <c r="I162" s="54">
        <v>152</v>
      </c>
      <c r="J162" s="54">
        <v>162</v>
      </c>
      <c r="K162" s="54">
        <v>161</v>
      </c>
      <c r="L162" s="54" t="e">
        <v>#N/A</v>
      </c>
      <c r="M162" s="54" t="s">
        <v>156</v>
      </c>
      <c r="N162" s="54" t="s">
        <v>156</v>
      </c>
      <c r="O162" s="54" t="s">
        <v>156</v>
      </c>
    </row>
    <row r="163" spans="1:15" x14ac:dyDescent="0.35">
      <c r="A163" s="59" t="s">
        <v>181</v>
      </c>
      <c r="B163" s="60">
        <v>45634</v>
      </c>
      <c r="C163" s="54">
        <v>90.705536559124596</v>
      </c>
      <c r="D163" s="54">
        <v>90.705536559124596</v>
      </c>
      <c r="E163"/>
      <c r="F163"/>
      <c r="G163" t="e">
        <v>#N/A</v>
      </c>
      <c r="H163" s="54">
        <v>11</v>
      </c>
      <c r="I163" s="54">
        <v>153</v>
      </c>
      <c r="J163" s="54">
        <v>163</v>
      </c>
      <c r="K163" s="54">
        <v>162</v>
      </c>
      <c r="L163" s="54" t="e">
        <v>#N/A</v>
      </c>
      <c r="M163" s="54" t="s">
        <v>156</v>
      </c>
      <c r="N163" s="54" t="s">
        <v>156</v>
      </c>
      <c r="O163" s="54" t="s">
        <v>156</v>
      </c>
    </row>
    <row r="164" spans="1:15" x14ac:dyDescent="0.35">
      <c r="A164" s="59" t="s">
        <v>181</v>
      </c>
      <c r="B164" s="60">
        <v>45641</v>
      </c>
      <c r="C164" s="54">
        <v>92.907902259149267</v>
      </c>
      <c r="D164" s="54">
        <v>92.907902259149267</v>
      </c>
      <c r="E164"/>
      <c r="F164"/>
      <c r="G164" t="e">
        <v>#N/A</v>
      </c>
      <c r="H164" s="54">
        <v>11</v>
      </c>
      <c r="I164" s="54">
        <v>154</v>
      </c>
      <c r="J164" s="54">
        <v>164</v>
      </c>
      <c r="K164" s="54">
        <v>163</v>
      </c>
      <c r="L164" s="54" t="e">
        <v>#N/A</v>
      </c>
      <c r="M164" s="54" t="s">
        <v>156</v>
      </c>
      <c r="N164" s="54" t="s">
        <v>156</v>
      </c>
      <c r="O164" s="54" t="s">
        <v>156</v>
      </c>
    </row>
    <row r="165" spans="1:15" x14ac:dyDescent="0.35">
      <c r="A165" s="59" t="s">
        <v>181</v>
      </c>
      <c r="B165" s="60">
        <v>45648</v>
      </c>
      <c r="C165" s="54">
        <v>95.213686714248851</v>
      </c>
      <c r="D165" s="54">
        <v>95.213686714248851</v>
      </c>
      <c r="E165"/>
      <c r="F165"/>
      <c r="G165" t="e">
        <v>#N/A</v>
      </c>
      <c r="H165" s="54">
        <v>11</v>
      </c>
      <c r="I165" s="54">
        <v>155</v>
      </c>
      <c r="J165" s="54">
        <v>165</v>
      </c>
      <c r="K165" s="54">
        <v>164</v>
      </c>
      <c r="L165" s="54" t="e">
        <v>#N/A</v>
      </c>
      <c r="M165" s="54" t="s">
        <v>156</v>
      </c>
      <c r="N165" s="54" t="s">
        <v>156</v>
      </c>
      <c r="O165" s="54" t="s">
        <v>156</v>
      </c>
    </row>
    <row r="166" spans="1:15" x14ac:dyDescent="0.35">
      <c r="A166" s="59" t="s">
        <v>181</v>
      </c>
      <c r="B166" s="60">
        <v>45655</v>
      </c>
      <c r="C166" s="54">
        <v>97.5892663948935</v>
      </c>
      <c r="D166" s="54">
        <v>97.5892663948935</v>
      </c>
      <c r="E166"/>
      <c r="F166"/>
      <c r="G166" t="e">
        <v>#N/A</v>
      </c>
      <c r="H166" s="54">
        <v>11</v>
      </c>
      <c r="I166" s="54">
        <v>156</v>
      </c>
      <c r="J166" s="54">
        <v>166</v>
      </c>
      <c r="K166" s="54">
        <v>165</v>
      </c>
      <c r="L166" s="54" t="e">
        <v>#N/A</v>
      </c>
      <c r="M166" s="54" t="s">
        <v>156</v>
      </c>
      <c r="N166" s="54" t="s">
        <v>156</v>
      </c>
      <c r="O166" s="54" t="s">
        <v>156</v>
      </c>
    </row>
    <row r="167" spans="1:15" x14ac:dyDescent="0.35">
      <c r="A167" s="59" t="s">
        <v>181</v>
      </c>
      <c r="B167" s="60">
        <v>45662</v>
      </c>
      <c r="C167" s="54">
        <v>99.999999999999986</v>
      </c>
      <c r="D167" s="54"/>
      <c r="E167">
        <v>99.999999999999986</v>
      </c>
      <c r="F167">
        <v>100.00000000000003</v>
      </c>
      <c r="G167">
        <v>87.777893374065869</v>
      </c>
      <c r="H167" s="54">
        <v>11</v>
      </c>
      <c r="I167" s="54" t="s">
        <v>156</v>
      </c>
      <c r="J167" s="54">
        <v>166</v>
      </c>
      <c r="K167" s="54">
        <v>166</v>
      </c>
      <c r="L167" s="54">
        <v>100</v>
      </c>
      <c r="M167" s="54">
        <v>1.4210854715202004E-14</v>
      </c>
      <c r="N167" s="54">
        <v>4.2632564145606011E-14</v>
      </c>
      <c r="O167" s="54">
        <v>12.222106625934117</v>
      </c>
    </row>
    <row r="168" spans="1:15" x14ac:dyDescent="0.35">
      <c r="A168" s="59" t="s">
        <v>181</v>
      </c>
      <c r="B168" s="60">
        <v>45669</v>
      </c>
      <c r="C168" s="54">
        <v>102.4107336051064</v>
      </c>
      <c r="D168" s="54"/>
      <c r="E168">
        <v>102.4107336051064</v>
      </c>
      <c r="F168">
        <v>102.41073360510647</v>
      </c>
      <c r="G168">
        <v>89.747422679708706</v>
      </c>
      <c r="H168" s="54">
        <v>11</v>
      </c>
      <c r="I168" s="54" t="s">
        <v>156</v>
      </c>
      <c r="J168" s="54">
        <v>166</v>
      </c>
      <c r="K168" s="54">
        <v>167</v>
      </c>
      <c r="L168" s="54">
        <v>102.41073360510644</v>
      </c>
      <c r="M168" s="54">
        <v>4.2632564145606011E-14</v>
      </c>
      <c r="N168" s="54">
        <v>7.1054273576010019E-14</v>
      </c>
      <c r="O168" s="54">
        <v>12.663310925397695</v>
      </c>
    </row>
    <row r="169" spans="1:15" x14ac:dyDescent="0.35">
      <c r="A169" s="59" t="s">
        <v>181</v>
      </c>
      <c r="B169" s="60">
        <v>45676</v>
      </c>
      <c r="C169" s="54">
        <v>104.78631328575119</v>
      </c>
      <c r="D169" s="54"/>
      <c r="E169">
        <v>104.78631328575119</v>
      </c>
      <c r="F169">
        <v>104.78631328575116</v>
      </c>
      <c r="G169">
        <v>91.86645764947491</v>
      </c>
      <c r="H169" s="54">
        <v>11</v>
      </c>
      <c r="I169" s="54" t="s">
        <v>156</v>
      </c>
      <c r="J169" s="54">
        <v>166</v>
      </c>
      <c r="K169" s="54">
        <v>168</v>
      </c>
      <c r="L169" s="54">
        <v>104.78631328575113</v>
      </c>
      <c r="M169" s="54">
        <v>5.6843418860808015E-14</v>
      </c>
      <c r="N169" s="54">
        <v>2.8421709430404007E-14</v>
      </c>
      <c r="O169" s="54">
        <v>12.919855636276282</v>
      </c>
    </row>
    <row r="170" spans="1:15" x14ac:dyDescent="0.35">
      <c r="A170" s="59" t="s">
        <v>181</v>
      </c>
      <c r="B170" s="60">
        <v>45683</v>
      </c>
      <c r="C170" s="54">
        <v>107.0920977408507</v>
      </c>
      <c r="D170" s="54"/>
      <c r="E170">
        <v>107.0920977408507</v>
      </c>
      <c r="F170">
        <v>107.0920977408507</v>
      </c>
      <c r="G170">
        <v>94.104097981854054</v>
      </c>
      <c r="H170" s="54">
        <v>11</v>
      </c>
      <c r="I170" s="54" t="s">
        <v>156</v>
      </c>
      <c r="J170" s="54">
        <v>166</v>
      </c>
      <c r="K170" s="54">
        <v>169</v>
      </c>
      <c r="L170" s="54">
        <v>107.09209774085069</v>
      </c>
      <c r="M170" s="54">
        <v>1.4210854715202004E-14</v>
      </c>
      <c r="N170" s="54">
        <v>0</v>
      </c>
      <c r="O170" s="54">
        <v>12.987999758996651</v>
      </c>
    </row>
    <row r="171" spans="1:15" x14ac:dyDescent="0.35">
      <c r="A171" s="59" t="s">
        <v>181</v>
      </c>
      <c r="B171" s="60">
        <v>45690</v>
      </c>
      <c r="C171" s="54">
        <v>109.29446344087538</v>
      </c>
      <c r="D171" s="54"/>
      <c r="E171">
        <v>109.29446344087538</v>
      </c>
      <c r="F171">
        <v>109.29446344087538</v>
      </c>
      <c r="G171">
        <v>96.427713842072905</v>
      </c>
      <c r="H171" s="54">
        <v>11</v>
      </c>
      <c r="I171" s="54" t="s">
        <v>156</v>
      </c>
      <c r="J171" s="54">
        <v>166</v>
      </c>
      <c r="K171" s="54">
        <v>170</v>
      </c>
      <c r="L171" s="54">
        <v>109.29446344087535</v>
      </c>
      <c r="M171" s="54">
        <v>2.8421709430404007E-14</v>
      </c>
      <c r="N171" s="54">
        <v>0</v>
      </c>
      <c r="O171" s="54">
        <v>12.866749598802471</v>
      </c>
    </row>
    <row r="172" spans="1:15" x14ac:dyDescent="0.35">
      <c r="A172" s="59" t="s">
        <v>181</v>
      </c>
      <c r="B172" s="60">
        <v>45697</v>
      </c>
      <c r="C172" s="54">
        <v>111.36129493462309</v>
      </c>
      <c r="D172" s="54"/>
      <c r="E172">
        <v>111.36129493462309</v>
      </c>
      <c r="F172">
        <v>111.3612949346231</v>
      </c>
      <c r="G172">
        <v>98.803421678562188</v>
      </c>
      <c r="H172" s="54">
        <v>11</v>
      </c>
      <c r="I172" s="54" t="s">
        <v>156</v>
      </c>
      <c r="J172" s="54">
        <v>166</v>
      </c>
      <c r="K172" s="54">
        <v>171</v>
      </c>
      <c r="L172" s="54">
        <v>111.3612949346231</v>
      </c>
      <c r="M172" s="54">
        <v>1.4210854715202004E-14</v>
      </c>
      <c r="N172" s="54">
        <v>1.4210854715202004E-14</v>
      </c>
      <c r="O172" s="54">
        <v>12.557873256060901</v>
      </c>
    </row>
    <row r="173" spans="1:15" x14ac:dyDescent="0.35">
      <c r="A173" s="59" t="s">
        <v>181</v>
      </c>
      <c r="B173" s="60">
        <v>45704</v>
      </c>
      <c r="C173" s="54">
        <v>113.26245316481589</v>
      </c>
      <c r="D173" s="54"/>
      <c r="E173">
        <v>113.26245316481589</v>
      </c>
      <c r="F173">
        <v>113.26245316481591</v>
      </c>
      <c r="G173">
        <v>101.19657832143777</v>
      </c>
      <c r="H173" s="54">
        <v>11</v>
      </c>
      <c r="I173" s="54" t="s">
        <v>156</v>
      </c>
      <c r="J173" s="54">
        <v>166</v>
      </c>
      <c r="K173" s="54">
        <v>172</v>
      </c>
      <c r="L173" s="54">
        <v>113.26245316481589</v>
      </c>
      <c r="M173" s="54">
        <v>0</v>
      </c>
      <c r="N173" s="54">
        <v>1.4210854715202004E-14</v>
      </c>
      <c r="O173" s="54">
        <v>12.065874843378126</v>
      </c>
    </row>
    <row r="174" spans="1:15" x14ac:dyDescent="0.35">
      <c r="A174" s="59" t="s">
        <v>181</v>
      </c>
      <c r="B174" s="60">
        <v>45711</v>
      </c>
      <c r="C174" s="54">
        <v>114.97021496342198</v>
      </c>
      <c r="D174" s="54"/>
      <c r="E174">
        <v>114.97021496342198</v>
      </c>
      <c r="F174">
        <v>114.97021496342201</v>
      </c>
      <c r="G174">
        <v>103.57228615792707</v>
      </c>
      <c r="H174" s="54">
        <v>11</v>
      </c>
      <c r="I174" s="54" t="s">
        <v>156</v>
      </c>
      <c r="J174" s="54">
        <v>166</v>
      </c>
      <c r="K174" s="54">
        <v>173</v>
      </c>
      <c r="L174" s="54">
        <v>114.97021496342199</v>
      </c>
      <c r="M174" s="54">
        <v>1.4210854715202004E-14</v>
      </c>
      <c r="N174" s="54">
        <v>2.8421709430404007E-14</v>
      </c>
      <c r="O174" s="54">
        <v>11.397928805494914</v>
      </c>
    </row>
    <row r="175" spans="1:15" x14ac:dyDescent="0.35">
      <c r="A175" s="59" t="s">
        <v>181</v>
      </c>
      <c r="B175" s="60">
        <v>45718</v>
      </c>
      <c r="C175" s="54">
        <v>116.45967731787312</v>
      </c>
      <c r="D175" s="54"/>
      <c r="E175">
        <v>116.45967731787312</v>
      </c>
      <c r="F175">
        <v>116.45967731787312</v>
      </c>
      <c r="G175">
        <v>105.8959020181459</v>
      </c>
      <c r="H175" s="54">
        <v>11</v>
      </c>
      <c r="I175" s="54" t="s">
        <v>156</v>
      </c>
      <c r="J175" s="54">
        <v>166</v>
      </c>
      <c r="K175" s="54">
        <v>174</v>
      </c>
      <c r="L175" s="54">
        <v>116.4596773178731</v>
      </c>
      <c r="M175" s="54">
        <v>1.4210854715202004E-14</v>
      </c>
      <c r="N175" s="54">
        <v>0</v>
      </c>
      <c r="O175" s="54">
        <v>10.563775299727212</v>
      </c>
    </row>
    <row r="176" spans="1:15" x14ac:dyDescent="0.35">
      <c r="A176" s="59" t="s">
        <v>181</v>
      </c>
      <c r="B176" s="60">
        <v>45725</v>
      </c>
      <c r="C176" s="54">
        <v>117.70912051306416</v>
      </c>
      <c r="D176" s="54"/>
      <c r="E176">
        <v>117.70912051306416</v>
      </c>
      <c r="F176">
        <v>117.70912051306422</v>
      </c>
      <c r="G176">
        <v>108.13354235052509</v>
      </c>
      <c r="H176" s="54">
        <v>11</v>
      </c>
      <c r="I176" s="54" t="s">
        <v>156</v>
      </c>
      <c r="J176" s="54">
        <v>166</v>
      </c>
      <c r="K176" s="54">
        <v>175</v>
      </c>
      <c r="L176" s="54">
        <v>117.70912051306418</v>
      </c>
      <c r="M176" s="54">
        <v>1.4210854715202004E-14</v>
      </c>
      <c r="N176" s="54">
        <v>5.6843418860808015E-14</v>
      </c>
      <c r="O176" s="54">
        <v>9.5755781625390739</v>
      </c>
    </row>
    <row r="177" spans="1:15" x14ac:dyDescent="0.35">
      <c r="A177" s="59" t="s">
        <v>181</v>
      </c>
      <c r="B177" s="60">
        <v>45732</v>
      </c>
      <c r="C177" s="54">
        <v>118.70032485370831</v>
      </c>
      <c r="D177" s="54"/>
      <c r="E177">
        <v>118.70032485370831</v>
      </c>
      <c r="F177">
        <v>118.70032485370831</v>
      </c>
      <c r="G177">
        <v>110.25257732029127</v>
      </c>
      <c r="H177" s="54">
        <v>11</v>
      </c>
      <c r="I177" s="54" t="s">
        <v>156</v>
      </c>
      <c r="J177" s="54">
        <v>166</v>
      </c>
      <c r="K177" s="54">
        <v>176</v>
      </c>
      <c r="L177" s="54">
        <v>118.70032485370828</v>
      </c>
      <c r="M177" s="54">
        <v>2.8421709430404007E-14</v>
      </c>
      <c r="N177" s="54">
        <v>0</v>
      </c>
      <c r="O177" s="54">
        <v>8.4477475334170435</v>
      </c>
    </row>
    <row r="178" spans="1:15" x14ac:dyDescent="0.35">
      <c r="A178" s="59" t="s">
        <v>181</v>
      </c>
      <c r="B178" s="60">
        <v>45739</v>
      </c>
      <c r="C178" s="54">
        <v>119.41883634852105</v>
      </c>
      <c r="D178" s="54"/>
      <c r="E178">
        <v>119.41883634852105</v>
      </c>
      <c r="F178">
        <v>119.41883634852104</v>
      </c>
      <c r="G178">
        <v>112.22210662593409</v>
      </c>
      <c r="H178" s="54">
        <v>11</v>
      </c>
      <c r="I178" s="54" t="s">
        <v>156</v>
      </c>
      <c r="J178" s="54">
        <v>166</v>
      </c>
      <c r="K178" s="54">
        <v>177</v>
      </c>
      <c r="L178" s="54">
        <v>119.41883634852103</v>
      </c>
      <c r="M178" s="54">
        <v>2.8421709430404007E-14</v>
      </c>
      <c r="N178" s="54">
        <v>1.4210854715202004E-14</v>
      </c>
      <c r="O178" s="54">
        <v>7.1967297225869657</v>
      </c>
    </row>
    <row r="179" spans="1:15" x14ac:dyDescent="0.35">
      <c r="A179" s="59" t="s">
        <v>181</v>
      </c>
      <c r="B179" s="60">
        <v>45746</v>
      </c>
      <c r="C179" s="54">
        <v>119.85417748196107</v>
      </c>
      <c r="D179" s="54"/>
      <c r="E179">
        <v>119.85417748196107</v>
      </c>
      <c r="F179">
        <v>119.85417748196107</v>
      </c>
      <c r="G179">
        <v>114.01341009518352</v>
      </c>
      <c r="H179" s="54">
        <v>11</v>
      </c>
      <c r="I179" s="54" t="s">
        <v>156</v>
      </c>
      <c r="J179" s="54">
        <v>166</v>
      </c>
      <c r="K179" s="54">
        <v>178</v>
      </c>
      <c r="L179" s="54">
        <v>119.85417748196106</v>
      </c>
      <c r="M179" s="54">
        <v>1.4210854715202004E-14</v>
      </c>
      <c r="N179" s="54">
        <v>0</v>
      </c>
      <c r="O179" s="54">
        <v>5.8407673867775571</v>
      </c>
    </row>
    <row r="180" spans="1:15" x14ac:dyDescent="0.35">
      <c r="A180" s="59" t="s">
        <v>181</v>
      </c>
      <c r="B180" s="60">
        <v>45753</v>
      </c>
      <c r="C180" s="54">
        <v>120</v>
      </c>
      <c r="D180" s="54"/>
      <c r="E180">
        <v>120</v>
      </c>
      <c r="F180">
        <v>120.00000000000003</v>
      </c>
      <c r="G180">
        <v>115.6003664897938</v>
      </c>
      <c r="H180" s="54">
        <v>11</v>
      </c>
      <c r="I180" s="54" t="s">
        <v>156</v>
      </c>
      <c r="J180" s="54">
        <v>166</v>
      </c>
      <c r="K180" s="54">
        <v>179</v>
      </c>
      <c r="L180" s="54">
        <v>119.99999999999999</v>
      </c>
      <c r="M180" s="54">
        <v>1.4210854715202004E-14</v>
      </c>
      <c r="N180" s="54">
        <v>2.8421709430404007E-14</v>
      </c>
      <c r="O180" s="54">
        <v>4.3996335102062005</v>
      </c>
    </row>
    <row r="181" spans="1:15" x14ac:dyDescent="0.35">
      <c r="A181" s="59" t="s">
        <v>181</v>
      </c>
      <c r="B181" s="60">
        <v>45760</v>
      </c>
      <c r="C181" s="54">
        <v>119.85417748196109</v>
      </c>
      <c r="D181" s="54"/>
      <c r="E181">
        <v>119.85417748196109</v>
      </c>
      <c r="F181">
        <v>119.85417748196109</v>
      </c>
      <c r="G181">
        <v>116.95983441201689</v>
      </c>
      <c r="H181" s="54">
        <v>11</v>
      </c>
      <c r="I181" s="54" t="s">
        <v>156</v>
      </c>
      <c r="J181" s="54">
        <v>166</v>
      </c>
      <c r="K181" s="54">
        <v>180</v>
      </c>
      <c r="L181" s="54">
        <v>119.85417748196106</v>
      </c>
      <c r="M181" s="54">
        <v>2.8421709430404007E-14</v>
      </c>
      <c r="N181" s="54">
        <v>0</v>
      </c>
      <c r="O181" s="54">
        <v>2.894343069944199</v>
      </c>
    </row>
    <row r="182" spans="1:15" x14ac:dyDescent="0.35">
      <c r="A182" s="59" t="s">
        <v>181</v>
      </c>
      <c r="B182" s="60">
        <v>45767</v>
      </c>
      <c r="C182" s="54">
        <v>119.41883634852104</v>
      </c>
      <c r="D182" s="54"/>
      <c r="E182">
        <v>119.41883634852104</v>
      </c>
      <c r="F182">
        <v>119.41883634852107</v>
      </c>
      <c r="G182">
        <v>118.07198975829166</v>
      </c>
      <c r="H182" s="54">
        <v>11</v>
      </c>
      <c r="I182" s="54" t="s">
        <v>156</v>
      </c>
      <c r="J182" s="54">
        <v>166</v>
      </c>
      <c r="K182" s="54">
        <v>181</v>
      </c>
      <c r="L182" s="54">
        <v>119.41883634852103</v>
      </c>
      <c r="M182" s="54">
        <v>1.4210854715202004E-14</v>
      </c>
      <c r="N182" s="54">
        <v>2.8421709430404007E-14</v>
      </c>
      <c r="O182" s="54">
        <v>1.3468465902293758</v>
      </c>
    </row>
    <row r="183" spans="1:15" x14ac:dyDescent="0.35">
      <c r="A183" s="59" t="s">
        <v>181</v>
      </c>
      <c r="B183" s="60">
        <v>45774</v>
      </c>
      <c r="C183" s="54">
        <v>118.70032485370831</v>
      </c>
      <c r="D183" s="54"/>
      <c r="E183">
        <v>118.70032485370831</v>
      </c>
      <c r="F183">
        <v>118.70032485370834</v>
      </c>
      <c r="G183">
        <v>118.92061479931365</v>
      </c>
      <c r="H183" s="54">
        <v>11</v>
      </c>
      <c r="I183" s="54" t="s">
        <v>156</v>
      </c>
      <c r="J183" s="54">
        <v>166</v>
      </c>
      <c r="K183" s="54">
        <v>182</v>
      </c>
      <c r="L183" s="54">
        <v>118.70032485370828</v>
      </c>
      <c r="M183" s="54">
        <v>2.8421709430404007E-14</v>
      </c>
      <c r="N183" s="54">
        <v>2.8421709430404007E-14</v>
      </c>
      <c r="O183" s="54">
        <v>0.22028994560534443</v>
      </c>
    </row>
    <row r="184" spans="1:15" x14ac:dyDescent="0.35">
      <c r="A184" s="59" t="s">
        <v>181</v>
      </c>
      <c r="B184" s="60">
        <v>45781</v>
      </c>
      <c r="C184" s="54">
        <v>117.70912051306421</v>
      </c>
      <c r="D184" s="54"/>
      <c r="E184">
        <v>117.70912051306421</v>
      </c>
      <c r="F184">
        <v>117.70912051306424</v>
      </c>
      <c r="G184">
        <v>119.49333467104761</v>
      </c>
      <c r="H184" s="54">
        <v>11</v>
      </c>
      <c r="I184" s="54" t="s">
        <v>156</v>
      </c>
      <c r="J184" s="54">
        <v>166</v>
      </c>
      <c r="K184" s="54">
        <v>183</v>
      </c>
      <c r="L184" s="54">
        <v>117.70912051306419</v>
      </c>
      <c r="M184" s="54">
        <v>1.4210854715202004E-14</v>
      </c>
      <c r="N184" s="54">
        <v>2.8421709430404007E-14</v>
      </c>
      <c r="O184" s="54">
        <v>1.7842141579833992</v>
      </c>
    </row>
    <row r="185" spans="1:15" x14ac:dyDescent="0.35">
      <c r="A185" s="59" t="s">
        <v>181</v>
      </c>
      <c r="B185" s="60">
        <v>45788</v>
      </c>
      <c r="C185" s="54">
        <v>116.45967731787317</v>
      </c>
      <c r="D185" s="54"/>
      <c r="E185">
        <v>116.45967731787317</v>
      </c>
      <c r="F185">
        <v>116.45967731787314</v>
      </c>
      <c r="G185">
        <v>119.7817978281108</v>
      </c>
      <c r="H185" s="54">
        <v>11</v>
      </c>
      <c r="I185" s="54" t="s">
        <v>156</v>
      </c>
      <c r="J185" s="54">
        <v>166</v>
      </c>
      <c r="K185" s="54">
        <v>184</v>
      </c>
      <c r="L185" s="54">
        <v>116.45967731787313</v>
      </c>
      <c r="M185" s="54">
        <v>4.2632564145606011E-14</v>
      </c>
      <c r="N185" s="54">
        <v>2.8421709430404007E-14</v>
      </c>
      <c r="O185" s="54">
        <v>3.3221205102376246</v>
      </c>
    </row>
    <row r="186" spans="1:15" x14ac:dyDescent="0.35">
      <c r="A186" s="59" t="s">
        <v>181</v>
      </c>
      <c r="B186" s="60">
        <v>45795</v>
      </c>
      <c r="C186" s="54">
        <v>114.97021496342205</v>
      </c>
      <c r="D186" s="54"/>
      <c r="E186">
        <v>114.97021496342205</v>
      </c>
      <c r="F186">
        <v>114.97021496342205</v>
      </c>
      <c r="G186">
        <v>119.7817978281108</v>
      </c>
      <c r="H186" s="54">
        <v>11</v>
      </c>
      <c r="I186" s="54" t="s">
        <v>156</v>
      </c>
      <c r="J186" s="54">
        <v>166</v>
      </c>
      <c r="K186" s="54">
        <v>185</v>
      </c>
      <c r="L186" s="54">
        <v>114.97021496342201</v>
      </c>
      <c r="M186" s="54">
        <v>4.2632564145606011E-14</v>
      </c>
      <c r="N186" s="54">
        <v>0</v>
      </c>
      <c r="O186" s="54">
        <v>4.8115828646887451</v>
      </c>
    </row>
    <row r="187" spans="1:15" x14ac:dyDescent="0.35">
      <c r="A187" s="59" t="s">
        <v>181</v>
      </c>
      <c r="B187" s="60">
        <v>45802</v>
      </c>
      <c r="C187" s="54">
        <v>113.26245316481598</v>
      </c>
      <c r="D187" s="54"/>
      <c r="E187">
        <v>113.26245316481598</v>
      </c>
      <c r="F187">
        <v>113.26245316481595</v>
      </c>
      <c r="G187">
        <v>119.49333467104761</v>
      </c>
      <c r="H187" s="54">
        <v>11</v>
      </c>
      <c r="I187" s="54" t="s">
        <v>156</v>
      </c>
      <c r="J187" s="54">
        <v>166</v>
      </c>
      <c r="K187" s="54">
        <v>186</v>
      </c>
      <c r="L187" s="54">
        <v>113.26245316481589</v>
      </c>
      <c r="M187" s="54">
        <v>8.5265128291212022E-14</v>
      </c>
      <c r="N187" s="54">
        <v>2.8421709430404007E-14</v>
      </c>
      <c r="O187" s="54">
        <v>6.2308815062316256</v>
      </c>
    </row>
    <row r="188" spans="1:15" x14ac:dyDescent="0.35">
      <c r="A188" s="59" t="s">
        <v>181</v>
      </c>
      <c r="B188" s="60">
        <v>45809</v>
      </c>
      <c r="C188" s="54">
        <v>111.36129493462312</v>
      </c>
      <c r="D188" s="54"/>
      <c r="E188">
        <v>111.36129493462312</v>
      </c>
      <c r="F188">
        <v>111.36129493462316</v>
      </c>
      <c r="G188">
        <v>118.92061479931365</v>
      </c>
      <c r="H188" s="54">
        <v>11</v>
      </c>
      <c r="I188" s="54" t="s">
        <v>156</v>
      </c>
      <c r="J188" s="54">
        <v>166</v>
      </c>
      <c r="K188" s="54">
        <v>187</v>
      </c>
      <c r="L188" s="54">
        <v>111.36129493462312</v>
      </c>
      <c r="M188" s="54">
        <v>0</v>
      </c>
      <c r="N188" s="54">
        <v>4.2632564145606011E-14</v>
      </c>
      <c r="O188" s="54">
        <v>7.5593198646905364</v>
      </c>
    </row>
    <row r="189" spans="1:15" x14ac:dyDescent="0.35">
      <c r="A189" s="59" t="s">
        <v>181</v>
      </c>
      <c r="B189" s="60">
        <v>45816</v>
      </c>
      <c r="C189" s="54">
        <v>109.29446344087535</v>
      </c>
      <c r="D189" s="54"/>
      <c r="E189">
        <v>109.29446344087535</v>
      </c>
      <c r="F189">
        <v>109.29446344087542</v>
      </c>
      <c r="G189">
        <v>118.07198975829168</v>
      </c>
      <c r="H189" s="54">
        <v>11</v>
      </c>
      <c r="I189" s="54" t="s">
        <v>156</v>
      </c>
      <c r="J189" s="54">
        <v>166</v>
      </c>
      <c r="K189" s="54">
        <v>188</v>
      </c>
      <c r="L189" s="54">
        <v>109.29446344087536</v>
      </c>
      <c r="M189" s="54">
        <v>1.4210854715202004E-14</v>
      </c>
      <c r="N189" s="54">
        <v>7.1054273576010019E-14</v>
      </c>
      <c r="O189" s="54">
        <v>8.7775263174163314</v>
      </c>
    </row>
    <row r="190" spans="1:15" x14ac:dyDescent="0.35">
      <c r="A190" s="59" t="s">
        <v>181</v>
      </c>
      <c r="B190" s="60">
        <v>45823</v>
      </c>
      <c r="C190" s="54">
        <v>107.09209774085073</v>
      </c>
      <c r="D190" s="54"/>
      <c r="E190">
        <v>107.09209774085073</v>
      </c>
      <c r="F190">
        <v>107.09209774085076</v>
      </c>
      <c r="G190">
        <v>116.95983441201693</v>
      </c>
      <c r="H190" s="54">
        <v>11</v>
      </c>
      <c r="I190" s="54" t="s">
        <v>156</v>
      </c>
      <c r="J190" s="54">
        <v>166</v>
      </c>
      <c r="K190" s="54">
        <v>189</v>
      </c>
      <c r="L190" s="54">
        <v>107.0920977408507</v>
      </c>
      <c r="M190" s="54">
        <v>2.8421709430404007E-14</v>
      </c>
      <c r="N190" s="54">
        <v>2.8421709430404007E-14</v>
      </c>
      <c r="O190" s="54">
        <v>9.8677366711661989</v>
      </c>
    </row>
    <row r="191" spans="1:15" x14ac:dyDescent="0.35">
      <c r="A191" s="59" t="s">
        <v>181</v>
      </c>
      <c r="B191" s="60">
        <v>45830</v>
      </c>
      <c r="C191" s="54">
        <v>104.78631328575115</v>
      </c>
      <c r="D191" s="54"/>
      <c r="E191">
        <v>104.78631328575115</v>
      </c>
      <c r="F191">
        <v>104.78631328575122</v>
      </c>
      <c r="G191">
        <v>115.60036648979386</v>
      </c>
      <c r="H191" s="54">
        <v>11</v>
      </c>
      <c r="I191" s="54" t="s">
        <v>156</v>
      </c>
      <c r="J191" s="54">
        <v>166</v>
      </c>
      <c r="K191" s="54">
        <v>190</v>
      </c>
      <c r="L191" s="54">
        <v>104.78631328575116</v>
      </c>
      <c r="M191" s="54">
        <v>1.4210854715202004E-14</v>
      </c>
      <c r="N191" s="54">
        <v>7.1054273576010019E-14</v>
      </c>
      <c r="O191" s="54">
        <v>10.814053204042708</v>
      </c>
    </row>
    <row r="192" spans="1:15" x14ac:dyDescent="0.35">
      <c r="A192" s="59" t="s">
        <v>181</v>
      </c>
      <c r="B192" s="60">
        <v>45837</v>
      </c>
      <c r="C192" s="54">
        <v>102.4107336051065</v>
      </c>
      <c r="D192" s="54"/>
      <c r="E192">
        <v>102.4107336051065</v>
      </c>
      <c r="F192">
        <v>102.41073360510651</v>
      </c>
      <c r="G192">
        <v>114.01341009518357</v>
      </c>
      <c r="H192" s="54">
        <v>11</v>
      </c>
      <c r="I192" s="54" t="s">
        <v>156</v>
      </c>
      <c r="J192" s="54">
        <v>166</v>
      </c>
      <c r="K192" s="54">
        <v>191</v>
      </c>
      <c r="L192" s="54">
        <v>102.41073360510644</v>
      </c>
      <c r="M192" s="54">
        <v>5.6843418860808015E-14</v>
      </c>
      <c r="N192" s="54">
        <v>1.4210854715202004E-14</v>
      </c>
      <c r="O192" s="54">
        <v>11.602676490077073</v>
      </c>
    </row>
    <row r="193" spans="1:15" x14ac:dyDescent="0.35">
      <c r="A193" s="59" t="s">
        <v>182</v>
      </c>
      <c r="B193" s="60">
        <v>44570</v>
      </c>
      <c r="C193" s="54">
        <v>100</v>
      </c>
      <c r="D193" s="54">
        <v>100</v>
      </c>
      <c r="E193"/>
      <c r="F193"/>
      <c r="G193" t="e">
        <v>#N/A</v>
      </c>
      <c r="H193" s="54">
        <v>193</v>
      </c>
      <c r="I193" s="54">
        <v>1</v>
      </c>
      <c r="J193" s="54">
        <v>193</v>
      </c>
      <c r="K193" s="54">
        <v>192</v>
      </c>
      <c r="L193" s="54" t="e">
        <v>#N/A</v>
      </c>
      <c r="M193" s="54" t="s">
        <v>156</v>
      </c>
      <c r="N193" s="54" t="s">
        <v>156</v>
      </c>
      <c r="O193" s="54" t="s">
        <v>156</v>
      </c>
    </row>
    <row r="194" spans="1:15" x14ac:dyDescent="0.35">
      <c r="A194" s="59" t="s">
        <v>182</v>
      </c>
      <c r="B194" s="60">
        <v>44577</v>
      </c>
      <c r="C194" s="54">
        <v>102.91073360510646</v>
      </c>
      <c r="D194" s="54">
        <v>102.91073360510646</v>
      </c>
      <c r="E194"/>
      <c r="F194"/>
      <c r="G194" t="e">
        <v>#N/A</v>
      </c>
      <c r="H194" s="54">
        <v>193</v>
      </c>
      <c r="I194" s="54">
        <v>2</v>
      </c>
      <c r="J194" s="54">
        <v>194</v>
      </c>
      <c r="K194" s="54">
        <v>193</v>
      </c>
      <c r="L194" s="54" t="e">
        <v>#N/A</v>
      </c>
      <c r="M194" s="54" t="s">
        <v>156</v>
      </c>
      <c r="N194" s="54" t="s">
        <v>156</v>
      </c>
      <c r="O194" s="54" t="s">
        <v>156</v>
      </c>
    </row>
    <row r="195" spans="1:15" x14ac:dyDescent="0.35">
      <c r="A195" s="59" t="s">
        <v>182</v>
      </c>
      <c r="B195" s="60">
        <v>44584</v>
      </c>
      <c r="C195" s="54">
        <v>105.78631328575115</v>
      </c>
      <c r="D195" s="54">
        <v>105.78631328575115</v>
      </c>
      <c r="E195"/>
      <c r="F195"/>
      <c r="G195" t="e">
        <v>#N/A</v>
      </c>
      <c r="H195" s="54">
        <v>193</v>
      </c>
      <c r="I195" s="54">
        <v>3</v>
      </c>
      <c r="J195" s="54">
        <v>195</v>
      </c>
      <c r="K195" s="54">
        <v>194</v>
      </c>
      <c r="L195" s="54" t="e">
        <v>#N/A</v>
      </c>
      <c r="M195" s="54" t="s">
        <v>156</v>
      </c>
      <c r="N195" s="54" t="s">
        <v>156</v>
      </c>
      <c r="O195" s="54" t="s">
        <v>156</v>
      </c>
    </row>
    <row r="196" spans="1:15" x14ac:dyDescent="0.35">
      <c r="A196" s="59" t="s">
        <v>182</v>
      </c>
      <c r="B196" s="60">
        <v>44591</v>
      </c>
      <c r="C196" s="54">
        <v>108.59209774085072</v>
      </c>
      <c r="D196" s="54">
        <v>108.59209774085072</v>
      </c>
      <c r="E196"/>
      <c r="F196"/>
      <c r="G196" t="e">
        <v>#N/A</v>
      </c>
      <c r="H196" s="54">
        <v>193</v>
      </c>
      <c r="I196" s="54">
        <v>4</v>
      </c>
      <c r="J196" s="54">
        <v>196</v>
      </c>
      <c r="K196" s="54">
        <v>195</v>
      </c>
      <c r="L196" s="54" t="e">
        <v>#N/A</v>
      </c>
      <c r="M196" s="54" t="s">
        <v>156</v>
      </c>
      <c r="N196" s="54" t="s">
        <v>156</v>
      </c>
      <c r="O196" s="54" t="s">
        <v>156</v>
      </c>
    </row>
    <row r="197" spans="1:15" x14ac:dyDescent="0.35">
      <c r="A197" s="59" t="s">
        <v>182</v>
      </c>
      <c r="B197" s="60">
        <v>44598</v>
      </c>
      <c r="C197" s="54">
        <v>111.29446344087538</v>
      </c>
      <c r="D197" s="54">
        <v>111.29446344087538</v>
      </c>
      <c r="E197"/>
      <c r="F197"/>
      <c r="G197" t="e">
        <v>#N/A</v>
      </c>
      <c r="H197" s="54">
        <v>193</v>
      </c>
      <c r="I197" s="54">
        <v>5</v>
      </c>
      <c r="J197" s="54">
        <v>197</v>
      </c>
      <c r="K197" s="54">
        <v>196</v>
      </c>
      <c r="L197" s="54" t="e">
        <v>#N/A</v>
      </c>
      <c r="M197" s="54" t="s">
        <v>156</v>
      </c>
      <c r="N197" s="54" t="s">
        <v>156</v>
      </c>
      <c r="O197" s="54" t="s">
        <v>156</v>
      </c>
    </row>
    <row r="198" spans="1:15" x14ac:dyDescent="0.35">
      <c r="A198" s="59" t="s">
        <v>182</v>
      </c>
      <c r="B198" s="60">
        <v>44605</v>
      </c>
      <c r="C198" s="54">
        <v>113.86129493462312</v>
      </c>
      <c r="D198" s="54">
        <v>113.86129493462312</v>
      </c>
      <c r="E198"/>
      <c r="F198"/>
      <c r="G198" t="e">
        <v>#N/A</v>
      </c>
      <c r="H198" s="54">
        <v>193</v>
      </c>
      <c r="I198" s="54">
        <v>6</v>
      </c>
      <c r="J198" s="54">
        <v>198</v>
      </c>
      <c r="K198" s="54">
        <v>197</v>
      </c>
      <c r="L198" s="54" t="e">
        <v>#N/A</v>
      </c>
      <c r="M198" s="54" t="s">
        <v>156</v>
      </c>
      <c r="N198" s="54" t="s">
        <v>156</v>
      </c>
      <c r="O198" s="54" t="s">
        <v>156</v>
      </c>
    </row>
    <row r="199" spans="1:15" x14ac:dyDescent="0.35">
      <c r="A199" s="59" t="s">
        <v>182</v>
      </c>
      <c r="B199" s="60">
        <v>44612</v>
      </c>
      <c r="C199" s="54">
        <v>116.26245316481591</v>
      </c>
      <c r="D199" s="54">
        <v>116.26245316481591</v>
      </c>
      <c r="E199"/>
      <c r="F199"/>
      <c r="G199" t="e">
        <v>#N/A</v>
      </c>
      <c r="H199" s="54">
        <v>193</v>
      </c>
      <c r="I199" s="54">
        <v>7</v>
      </c>
      <c r="J199" s="54">
        <v>199</v>
      </c>
      <c r="K199" s="54">
        <v>198</v>
      </c>
      <c r="L199" s="54" t="e">
        <v>#N/A</v>
      </c>
      <c r="M199" s="54" t="s">
        <v>156</v>
      </c>
      <c r="N199" s="54" t="s">
        <v>156</v>
      </c>
      <c r="O199" s="54" t="s">
        <v>156</v>
      </c>
    </row>
    <row r="200" spans="1:15" x14ac:dyDescent="0.35">
      <c r="A200" s="59" t="s">
        <v>182</v>
      </c>
      <c r="B200" s="60">
        <v>44619</v>
      </c>
      <c r="C200" s="54">
        <v>118.47021496342202</v>
      </c>
      <c r="D200" s="54">
        <v>118.47021496342202</v>
      </c>
      <c r="E200"/>
      <c r="F200"/>
      <c r="G200" t="e">
        <v>#N/A</v>
      </c>
      <c r="H200" s="54">
        <v>193</v>
      </c>
      <c r="I200" s="54">
        <v>8</v>
      </c>
      <c r="J200" s="54">
        <v>200</v>
      </c>
      <c r="K200" s="54">
        <v>199</v>
      </c>
      <c r="L200" s="54" t="e">
        <v>#N/A</v>
      </c>
      <c r="M200" s="54" t="s">
        <v>156</v>
      </c>
      <c r="N200" s="54" t="s">
        <v>156</v>
      </c>
      <c r="O200" s="54" t="s">
        <v>156</v>
      </c>
    </row>
    <row r="201" spans="1:15" x14ac:dyDescent="0.35">
      <c r="A201" s="59" t="s">
        <v>182</v>
      </c>
      <c r="B201" s="60">
        <v>44626</v>
      </c>
      <c r="C201" s="54">
        <v>120.45967731787313</v>
      </c>
      <c r="D201" s="54">
        <v>120.45967731787313</v>
      </c>
      <c r="E201"/>
      <c r="F201"/>
      <c r="G201" t="e">
        <v>#N/A</v>
      </c>
      <c r="H201" s="54">
        <v>193</v>
      </c>
      <c r="I201" s="54">
        <v>9</v>
      </c>
      <c r="J201" s="54">
        <v>201</v>
      </c>
      <c r="K201" s="54">
        <v>200</v>
      </c>
      <c r="L201" s="54" t="e">
        <v>#N/A</v>
      </c>
      <c r="M201" s="54" t="s">
        <v>156</v>
      </c>
      <c r="N201" s="54" t="s">
        <v>156</v>
      </c>
      <c r="O201" s="54" t="s">
        <v>156</v>
      </c>
    </row>
    <row r="202" spans="1:15" x14ac:dyDescent="0.35">
      <c r="A202" s="59" t="s">
        <v>182</v>
      </c>
      <c r="B202" s="60">
        <v>44633</v>
      </c>
      <c r="C202" s="54">
        <v>122.20912051306419</v>
      </c>
      <c r="D202" s="54">
        <v>122.20912051306419</v>
      </c>
      <c r="E202"/>
      <c r="F202"/>
      <c r="G202" t="e">
        <v>#N/A</v>
      </c>
      <c r="H202" s="54">
        <v>193</v>
      </c>
      <c r="I202" s="54">
        <v>10</v>
      </c>
      <c r="J202" s="54">
        <v>202</v>
      </c>
      <c r="K202" s="54">
        <v>201</v>
      </c>
      <c r="L202" s="54" t="e">
        <v>#N/A</v>
      </c>
      <c r="M202" s="54" t="s">
        <v>156</v>
      </c>
      <c r="N202" s="54" t="s">
        <v>156</v>
      </c>
      <c r="O202" s="54" t="s">
        <v>156</v>
      </c>
    </row>
    <row r="203" spans="1:15" x14ac:dyDescent="0.35">
      <c r="A203" s="59" t="s">
        <v>182</v>
      </c>
      <c r="B203" s="60">
        <v>44640</v>
      </c>
      <c r="C203" s="54">
        <v>123.7003248537083</v>
      </c>
      <c r="D203" s="54">
        <v>123.7003248537083</v>
      </c>
      <c r="E203"/>
      <c r="F203"/>
      <c r="G203" t="e">
        <v>#N/A</v>
      </c>
      <c r="H203" s="54">
        <v>193</v>
      </c>
      <c r="I203" s="54">
        <v>11</v>
      </c>
      <c r="J203" s="54">
        <v>203</v>
      </c>
      <c r="K203" s="54">
        <v>202</v>
      </c>
      <c r="L203" s="54" t="e">
        <v>#N/A</v>
      </c>
      <c r="M203" s="54" t="s">
        <v>156</v>
      </c>
      <c r="N203" s="54" t="s">
        <v>156</v>
      </c>
      <c r="O203" s="54" t="s">
        <v>156</v>
      </c>
    </row>
    <row r="204" spans="1:15" x14ac:dyDescent="0.35">
      <c r="A204" s="59" t="s">
        <v>182</v>
      </c>
      <c r="B204" s="60">
        <v>44647</v>
      </c>
      <c r="C204" s="54">
        <v>124.91883634852104</v>
      </c>
      <c r="D204" s="54">
        <v>124.91883634852104</v>
      </c>
      <c r="E204"/>
      <c r="F204"/>
      <c r="G204" t="e">
        <v>#N/A</v>
      </c>
      <c r="H204" s="54">
        <v>193</v>
      </c>
      <c r="I204" s="54">
        <v>12</v>
      </c>
      <c r="J204" s="54">
        <v>204</v>
      </c>
      <c r="K204" s="54">
        <v>203</v>
      </c>
      <c r="L204" s="54" t="e">
        <v>#N/A</v>
      </c>
      <c r="M204" s="54" t="s">
        <v>156</v>
      </c>
      <c r="N204" s="54" t="s">
        <v>156</v>
      </c>
      <c r="O204" s="54" t="s">
        <v>156</v>
      </c>
    </row>
    <row r="205" spans="1:15" x14ac:dyDescent="0.35">
      <c r="A205" s="59" t="s">
        <v>182</v>
      </c>
      <c r="B205" s="60">
        <v>44654</v>
      </c>
      <c r="C205" s="54">
        <v>125.85417748196107</v>
      </c>
      <c r="D205" s="54">
        <v>125.85417748196107</v>
      </c>
      <c r="E205"/>
      <c r="F205"/>
      <c r="G205" t="e">
        <v>#N/A</v>
      </c>
      <c r="H205" s="54">
        <v>193</v>
      </c>
      <c r="I205" s="54">
        <v>13</v>
      </c>
      <c r="J205" s="54">
        <v>205</v>
      </c>
      <c r="K205" s="54">
        <v>204</v>
      </c>
      <c r="L205" s="54" t="e">
        <v>#N/A</v>
      </c>
      <c r="M205" s="54" t="s">
        <v>156</v>
      </c>
      <c r="N205" s="54" t="s">
        <v>156</v>
      </c>
      <c r="O205" s="54" t="s">
        <v>156</v>
      </c>
    </row>
    <row r="206" spans="1:15" x14ac:dyDescent="0.35">
      <c r="A206" s="59" t="s">
        <v>182</v>
      </c>
      <c r="B206" s="60">
        <v>44661</v>
      </c>
      <c r="C206" s="54">
        <v>126.5</v>
      </c>
      <c r="D206" s="54">
        <v>126.5</v>
      </c>
      <c r="E206"/>
      <c r="F206"/>
      <c r="G206" t="e">
        <v>#N/A</v>
      </c>
      <c r="H206" s="54">
        <v>193</v>
      </c>
      <c r="I206" s="54">
        <v>14</v>
      </c>
      <c r="J206" s="54">
        <v>206</v>
      </c>
      <c r="K206" s="54">
        <v>205</v>
      </c>
      <c r="L206" s="54" t="e">
        <v>#N/A</v>
      </c>
      <c r="M206" s="54" t="s">
        <v>156</v>
      </c>
      <c r="N206" s="54" t="s">
        <v>156</v>
      </c>
      <c r="O206" s="54" t="s">
        <v>156</v>
      </c>
    </row>
    <row r="207" spans="1:15" x14ac:dyDescent="0.35">
      <c r="A207" s="59" t="s">
        <v>182</v>
      </c>
      <c r="B207" s="60">
        <v>44668</v>
      </c>
      <c r="C207" s="54">
        <v>126.85417748196107</v>
      </c>
      <c r="D207" s="54">
        <v>126.85417748196107</v>
      </c>
      <c r="E207"/>
      <c r="F207"/>
      <c r="G207" t="e">
        <v>#N/A</v>
      </c>
      <c r="H207" s="54">
        <v>193</v>
      </c>
      <c r="I207" s="54">
        <v>15</v>
      </c>
      <c r="J207" s="54">
        <v>207</v>
      </c>
      <c r="K207" s="54">
        <v>206</v>
      </c>
      <c r="L207" s="54" t="e">
        <v>#N/A</v>
      </c>
      <c r="M207" s="54" t="s">
        <v>156</v>
      </c>
      <c r="N207" s="54" t="s">
        <v>156</v>
      </c>
      <c r="O207" s="54" t="s">
        <v>156</v>
      </c>
    </row>
    <row r="208" spans="1:15" x14ac:dyDescent="0.35">
      <c r="A208" s="59" t="s">
        <v>182</v>
      </c>
      <c r="B208" s="60">
        <v>44675</v>
      </c>
      <c r="C208" s="54">
        <v>126.91883634852104</v>
      </c>
      <c r="D208" s="54">
        <v>126.91883634852104</v>
      </c>
      <c r="E208"/>
      <c r="F208"/>
      <c r="G208" t="e">
        <v>#N/A</v>
      </c>
      <c r="H208" s="54">
        <v>193</v>
      </c>
      <c r="I208" s="54">
        <v>16</v>
      </c>
      <c r="J208" s="54">
        <v>208</v>
      </c>
      <c r="K208" s="54">
        <v>207</v>
      </c>
      <c r="L208" s="54" t="e">
        <v>#N/A</v>
      </c>
      <c r="M208" s="54" t="s">
        <v>156</v>
      </c>
      <c r="N208" s="54" t="s">
        <v>156</v>
      </c>
      <c r="O208" s="54" t="s">
        <v>156</v>
      </c>
    </row>
    <row r="209" spans="1:15" x14ac:dyDescent="0.35">
      <c r="A209" s="59" t="s">
        <v>182</v>
      </c>
      <c r="B209" s="60">
        <v>44682</v>
      </c>
      <c r="C209" s="54">
        <v>126.7003248537083</v>
      </c>
      <c r="D209" s="54">
        <v>126.7003248537083</v>
      </c>
      <c r="E209"/>
      <c r="F209"/>
      <c r="G209" t="e">
        <v>#N/A</v>
      </c>
      <c r="H209" s="54">
        <v>193</v>
      </c>
      <c r="I209" s="54">
        <v>17</v>
      </c>
      <c r="J209" s="54">
        <v>209</v>
      </c>
      <c r="K209" s="54">
        <v>208</v>
      </c>
      <c r="L209" s="54" t="e">
        <v>#N/A</v>
      </c>
      <c r="M209" s="54" t="s">
        <v>156</v>
      </c>
      <c r="N209" s="54" t="s">
        <v>156</v>
      </c>
      <c r="O209" s="54" t="s">
        <v>156</v>
      </c>
    </row>
    <row r="210" spans="1:15" x14ac:dyDescent="0.35">
      <c r="A210" s="59" t="s">
        <v>182</v>
      </c>
      <c r="B210" s="60">
        <v>44689</v>
      </c>
      <c r="C210" s="54">
        <v>126.20912051306419</v>
      </c>
      <c r="D210" s="54">
        <v>126.20912051306419</v>
      </c>
      <c r="E210"/>
      <c r="F210"/>
      <c r="G210" t="e">
        <v>#N/A</v>
      </c>
      <c r="H210" s="54">
        <v>193</v>
      </c>
      <c r="I210" s="54">
        <v>18</v>
      </c>
      <c r="J210" s="54">
        <v>210</v>
      </c>
      <c r="K210" s="54">
        <v>209</v>
      </c>
      <c r="L210" s="54" t="e">
        <v>#N/A</v>
      </c>
      <c r="M210" s="54" t="s">
        <v>156</v>
      </c>
      <c r="N210" s="54" t="s">
        <v>156</v>
      </c>
      <c r="O210" s="54" t="s">
        <v>156</v>
      </c>
    </row>
    <row r="211" spans="1:15" x14ac:dyDescent="0.35">
      <c r="A211" s="59" t="s">
        <v>182</v>
      </c>
      <c r="B211" s="60">
        <v>44696</v>
      </c>
      <c r="C211" s="54">
        <v>125.45967731787313</v>
      </c>
      <c r="D211" s="54">
        <v>125.45967731787313</v>
      </c>
      <c r="E211"/>
      <c r="F211"/>
      <c r="G211" t="e">
        <v>#N/A</v>
      </c>
      <c r="H211" s="54">
        <v>193</v>
      </c>
      <c r="I211" s="54">
        <v>19</v>
      </c>
      <c r="J211" s="54">
        <v>211</v>
      </c>
      <c r="K211" s="54">
        <v>210</v>
      </c>
      <c r="L211" s="54" t="e">
        <v>#N/A</v>
      </c>
      <c r="M211" s="54" t="s">
        <v>156</v>
      </c>
      <c r="N211" s="54" t="s">
        <v>156</v>
      </c>
      <c r="O211" s="54" t="s">
        <v>156</v>
      </c>
    </row>
    <row r="212" spans="1:15" x14ac:dyDescent="0.35">
      <c r="A212" s="59" t="s">
        <v>182</v>
      </c>
      <c r="B212" s="60">
        <v>44703</v>
      </c>
      <c r="C212" s="54">
        <v>124.47021496342202</v>
      </c>
      <c r="D212" s="54">
        <v>124.47021496342202</v>
      </c>
      <c r="E212"/>
      <c r="F212"/>
      <c r="G212" t="e">
        <v>#N/A</v>
      </c>
      <c r="H212" s="54">
        <v>193</v>
      </c>
      <c r="I212" s="54">
        <v>20</v>
      </c>
      <c r="J212" s="54">
        <v>212</v>
      </c>
      <c r="K212" s="54">
        <v>211</v>
      </c>
      <c r="L212" s="54" t="e">
        <v>#N/A</v>
      </c>
      <c r="M212" s="54" t="s">
        <v>156</v>
      </c>
      <c r="N212" s="54" t="s">
        <v>156</v>
      </c>
      <c r="O212" s="54" t="s">
        <v>156</v>
      </c>
    </row>
    <row r="213" spans="1:15" x14ac:dyDescent="0.35">
      <c r="A213" s="59" t="s">
        <v>182</v>
      </c>
      <c r="B213" s="60">
        <v>44710</v>
      </c>
      <c r="C213" s="54">
        <v>123.26245316481591</v>
      </c>
      <c r="D213" s="54">
        <v>123.26245316481591</v>
      </c>
      <c r="E213"/>
      <c r="F213"/>
      <c r="G213" t="e">
        <v>#N/A</v>
      </c>
      <c r="H213" s="54">
        <v>193</v>
      </c>
      <c r="I213" s="54">
        <v>21</v>
      </c>
      <c r="J213" s="54">
        <v>213</v>
      </c>
      <c r="K213" s="54">
        <v>212</v>
      </c>
      <c r="L213" s="54" t="e">
        <v>#N/A</v>
      </c>
      <c r="M213" s="54" t="s">
        <v>156</v>
      </c>
      <c r="N213" s="54" t="s">
        <v>156</v>
      </c>
      <c r="O213" s="54" t="s">
        <v>156</v>
      </c>
    </row>
    <row r="214" spans="1:15" x14ac:dyDescent="0.35">
      <c r="A214" s="59" t="s">
        <v>182</v>
      </c>
      <c r="B214" s="60">
        <v>44717</v>
      </c>
      <c r="C214" s="54">
        <v>121.86129493462312</v>
      </c>
      <c r="D214" s="54">
        <v>121.86129493462312</v>
      </c>
      <c r="E214"/>
      <c r="F214"/>
      <c r="G214" t="e">
        <v>#N/A</v>
      </c>
      <c r="H214" s="54">
        <v>193</v>
      </c>
      <c r="I214" s="54">
        <v>22</v>
      </c>
      <c r="J214" s="54">
        <v>214</v>
      </c>
      <c r="K214" s="54">
        <v>213</v>
      </c>
      <c r="L214" s="54" t="e">
        <v>#N/A</v>
      </c>
      <c r="M214" s="54" t="s">
        <v>156</v>
      </c>
      <c r="N214" s="54" t="s">
        <v>156</v>
      </c>
      <c r="O214" s="54" t="s">
        <v>156</v>
      </c>
    </row>
    <row r="215" spans="1:15" x14ac:dyDescent="0.35">
      <c r="A215" s="59" t="s">
        <v>182</v>
      </c>
      <c r="B215" s="60">
        <v>44724</v>
      </c>
      <c r="C215" s="54">
        <v>120.29446344087538</v>
      </c>
      <c r="D215" s="54">
        <v>120.29446344087538</v>
      </c>
      <c r="E215"/>
      <c r="F215"/>
      <c r="G215" t="e">
        <v>#N/A</v>
      </c>
      <c r="H215" s="54">
        <v>193</v>
      </c>
      <c r="I215" s="54">
        <v>23</v>
      </c>
      <c r="J215" s="54">
        <v>215</v>
      </c>
      <c r="K215" s="54">
        <v>214</v>
      </c>
      <c r="L215" s="54" t="e">
        <v>#N/A</v>
      </c>
      <c r="M215" s="54" t="s">
        <v>156</v>
      </c>
      <c r="N215" s="54" t="s">
        <v>156</v>
      </c>
      <c r="O215" s="54" t="s">
        <v>156</v>
      </c>
    </row>
    <row r="216" spans="1:15" x14ac:dyDescent="0.35">
      <c r="A216" s="59" t="s">
        <v>182</v>
      </c>
      <c r="B216" s="60">
        <v>44731</v>
      </c>
      <c r="C216" s="54">
        <v>118.59209774085072</v>
      </c>
      <c r="D216" s="54">
        <v>118.59209774085072</v>
      </c>
      <c r="E216"/>
      <c r="F216"/>
      <c r="G216" t="e">
        <v>#N/A</v>
      </c>
      <c r="H216" s="54">
        <v>193</v>
      </c>
      <c r="I216" s="54">
        <v>24</v>
      </c>
      <c r="J216" s="54">
        <v>216</v>
      </c>
      <c r="K216" s="54">
        <v>215</v>
      </c>
      <c r="L216" s="54" t="e">
        <v>#N/A</v>
      </c>
      <c r="M216" s="54" t="s">
        <v>156</v>
      </c>
      <c r="N216" s="54" t="s">
        <v>156</v>
      </c>
      <c r="O216" s="54" t="s">
        <v>156</v>
      </c>
    </row>
    <row r="217" spans="1:15" x14ac:dyDescent="0.35">
      <c r="A217" s="59" t="s">
        <v>182</v>
      </c>
      <c r="B217" s="60">
        <v>44738</v>
      </c>
      <c r="C217" s="54">
        <v>116.78631328575115</v>
      </c>
      <c r="D217" s="54">
        <v>116.78631328575115</v>
      </c>
      <c r="E217"/>
      <c r="F217"/>
      <c r="G217" t="e">
        <v>#N/A</v>
      </c>
      <c r="H217" s="54">
        <v>193</v>
      </c>
      <c r="I217" s="54">
        <v>25</v>
      </c>
      <c r="J217" s="54">
        <v>217</v>
      </c>
      <c r="K217" s="54">
        <v>216</v>
      </c>
      <c r="L217" s="54" t="e">
        <v>#N/A</v>
      </c>
      <c r="M217" s="54" t="s">
        <v>156</v>
      </c>
      <c r="N217" s="54" t="s">
        <v>156</v>
      </c>
      <c r="O217" s="54" t="s">
        <v>156</v>
      </c>
    </row>
    <row r="218" spans="1:15" x14ac:dyDescent="0.35">
      <c r="A218" s="59" t="s">
        <v>182</v>
      </c>
      <c r="B218" s="60">
        <v>44745</v>
      </c>
      <c r="C218" s="54">
        <v>114.91073360510646</v>
      </c>
      <c r="D218" s="54">
        <v>114.91073360510646</v>
      </c>
      <c r="E218"/>
      <c r="F218"/>
      <c r="G218" t="e">
        <v>#N/A</v>
      </c>
      <c r="H218" s="54">
        <v>193</v>
      </c>
      <c r="I218" s="54">
        <v>26</v>
      </c>
      <c r="J218" s="54">
        <v>218</v>
      </c>
      <c r="K218" s="54">
        <v>217</v>
      </c>
      <c r="L218" s="54" t="e">
        <v>#N/A</v>
      </c>
      <c r="M218" s="54" t="s">
        <v>156</v>
      </c>
      <c r="N218" s="54" t="s">
        <v>156</v>
      </c>
      <c r="O218" s="54" t="s">
        <v>156</v>
      </c>
    </row>
    <row r="219" spans="1:15" x14ac:dyDescent="0.35">
      <c r="A219" s="59" t="s">
        <v>182</v>
      </c>
      <c r="B219" s="60">
        <v>44752</v>
      </c>
      <c r="C219" s="54">
        <v>113</v>
      </c>
      <c r="D219" s="54">
        <v>113</v>
      </c>
      <c r="E219"/>
      <c r="F219"/>
      <c r="G219" t="e">
        <v>#N/A</v>
      </c>
      <c r="H219" s="54">
        <v>193</v>
      </c>
      <c r="I219" s="54">
        <v>27</v>
      </c>
      <c r="J219" s="54">
        <v>219</v>
      </c>
      <c r="K219" s="54">
        <v>218</v>
      </c>
      <c r="L219" s="54" t="e">
        <v>#N/A</v>
      </c>
      <c r="M219" s="54" t="s">
        <v>156</v>
      </c>
      <c r="N219" s="54" t="s">
        <v>156</v>
      </c>
      <c r="O219" s="54" t="s">
        <v>156</v>
      </c>
    </row>
    <row r="220" spans="1:15" x14ac:dyDescent="0.35">
      <c r="A220" s="59" t="s">
        <v>182</v>
      </c>
      <c r="B220" s="60">
        <v>44759</v>
      </c>
      <c r="C220" s="54">
        <v>111.08926639489354</v>
      </c>
      <c r="D220" s="54">
        <v>111.08926639489354</v>
      </c>
      <c r="E220"/>
      <c r="F220"/>
      <c r="G220" t="e">
        <v>#N/A</v>
      </c>
      <c r="H220" s="54">
        <v>193</v>
      </c>
      <c r="I220" s="54">
        <v>28</v>
      </c>
      <c r="J220" s="54">
        <v>220</v>
      </c>
      <c r="K220" s="54">
        <v>219</v>
      </c>
      <c r="L220" s="54" t="e">
        <v>#N/A</v>
      </c>
      <c r="M220" s="54" t="s">
        <v>156</v>
      </c>
      <c r="N220" s="54" t="s">
        <v>156</v>
      </c>
      <c r="O220" s="54" t="s">
        <v>156</v>
      </c>
    </row>
    <row r="221" spans="1:15" x14ac:dyDescent="0.35">
      <c r="A221" s="59" t="s">
        <v>182</v>
      </c>
      <c r="B221" s="60">
        <v>44766</v>
      </c>
      <c r="C221" s="54">
        <v>109.21368671424885</v>
      </c>
      <c r="D221" s="54">
        <v>109.21368671424885</v>
      </c>
      <c r="E221"/>
      <c r="F221"/>
      <c r="G221" t="e">
        <v>#N/A</v>
      </c>
      <c r="H221" s="54">
        <v>193</v>
      </c>
      <c r="I221" s="54">
        <v>29</v>
      </c>
      <c r="J221" s="54">
        <v>221</v>
      </c>
      <c r="K221" s="54">
        <v>220</v>
      </c>
      <c r="L221" s="54" t="e">
        <v>#N/A</v>
      </c>
      <c r="M221" s="54" t="s">
        <v>156</v>
      </c>
      <c r="N221" s="54" t="s">
        <v>156</v>
      </c>
      <c r="O221" s="54" t="s">
        <v>156</v>
      </c>
    </row>
    <row r="222" spans="1:15" x14ac:dyDescent="0.35">
      <c r="A222" s="59" t="s">
        <v>182</v>
      </c>
      <c r="B222" s="60">
        <v>44773</v>
      </c>
      <c r="C222" s="54">
        <v>107.40790225914928</v>
      </c>
      <c r="D222" s="54">
        <v>107.40790225914928</v>
      </c>
      <c r="E222"/>
      <c r="F222"/>
      <c r="G222" t="e">
        <v>#N/A</v>
      </c>
      <c r="H222" s="54">
        <v>193</v>
      </c>
      <c r="I222" s="54">
        <v>30</v>
      </c>
      <c r="J222" s="54">
        <v>222</v>
      </c>
      <c r="K222" s="54">
        <v>221</v>
      </c>
      <c r="L222" s="54" t="e">
        <v>#N/A</v>
      </c>
      <c r="M222" s="54" t="s">
        <v>156</v>
      </c>
      <c r="N222" s="54" t="s">
        <v>156</v>
      </c>
      <c r="O222" s="54" t="s">
        <v>156</v>
      </c>
    </row>
    <row r="223" spans="1:15" x14ac:dyDescent="0.35">
      <c r="A223" s="59" t="s">
        <v>182</v>
      </c>
      <c r="B223" s="60">
        <v>44780</v>
      </c>
      <c r="C223" s="54">
        <v>105.70553655912464</v>
      </c>
      <c r="D223" s="54">
        <v>105.70553655912464</v>
      </c>
      <c r="E223"/>
      <c r="F223"/>
      <c r="G223" t="e">
        <v>#N/A</v>
      </c>
      <c r="H223" s="54">
        <v>193</v>
      </c>
      <c r="I223" s="54">
        <v>31</v>
      </c>
      <c r="J223" s="54">
        <v>223</v>
      </c>
      <c r="K223" s="54">
        <v>222</v>
      </c>
      <c r="L223" s="54" t="e">
        <v>#N/A</v>
      </c>
      <c r="M223" s="54" t="s">
        <v>156</v>
      </c>
      <c r="N223" s="54" t="s">
        <v>156</v>
      </c>
      <c r="O223" s="54" t="s">
        <v>156</v>
      </c>
    </row>
    <row r="224" spans="1:15" x14ac:dyDescent="0.35">
      <c r="A224" s="59" t="s">
        <v>182</v>
      </c>
      <c r="B224" s="60">
        <v>44787</v>
      </c>
      <c r="C224" s="54">
        <v>104.13870506537688</v>
      </c>
      <c r="D224" s="54">
        <v>104.13870506537688</v>
      </c>
      <c r="E224"/>
      <c r="F224"/>
      <c r="G224" t="e">
        <v>#N/A</v>
      </c>
      <c r="H224" s="54">
        <v>193</v>
      </c>
      <c r="I224" s="54">
        <v>32</v>
      </c>
      <c r="J224" s="54">
        <v>224</v>
      </c>
      <c r="K224" s="54">
        <v>223</v>
      </c>
      <c r="L224" s="54" t="e">
        <v>#N/A</v>
      </c>
      <c r="M224" s="54" t="s">
        <v>156</v>
      </c>
      <c r="N224" s="54" t="s">
        <v>156</v>
      </c>
      <c r="O224" s="54" t="s">
        <v>156</v>
      </c>
    </row>
    <row r="225" spans="1:15" x14ac:dyDescent="0.35">
      <c r="A225" s="59" t="s">
        <v>182</v>
      </c>
      <c r="B225" s="60">
        <v>44794</v>
      </c>
      <c r="C225" s="54">
        <v>102.73754683518411</v>
      </c>
      <c r="D225" s="54">
        <v>102.73754683518411</v>
      </c>
      <c r="E225"/>
      <c r="F225"/>
      <c r="G225" t="e">
        <v>#N/A</v>
      </c>
      <c r="H225" s="54">
        <v>193</v>
      </c>
      <c r="I225" s="54">
        <v>33</v>
      </c>
      <c r="J225" s="54">
        <v>225</v>
      </c>
      <c r="K225" s="54">
        <v>224</v>
      </c>
      <c r="L225" s="54" t="e">
        <v>#N/A</v>
      </c>
      <c r="M225" s="54" t="s">
        <v>156</v>
      </c>
      <c r="N225" s="54" t="s">
        <v>156</v>
      </c>
      <c r="O225" s="54" t="s">
        <v>156</v>
      </c>
    </row>
    <row r="226" spans="1:15" x14ac:dyDescent="0.35">
      <c r="A226" s="59" t="s">
        <v>182</v>
      </c>
      <c r="B226" s="60">
        <v>44801</v>
      </c>
      <c r="C226" s="54">
        <v>101.52978503657798</v>
      </c>
      <c r="D226" s="54">
        <v>101.52978503657798</v>
      </c>
      <c r="E226"/>
      <c r="F226"/>
      <c r="G226" t="e">
        <v>#N/A</v>
      </c>
      <c r="H226" s="54">
        <v>193</v>
      </c>
      <c r="I226" s="54">
        <v>34</v>
      </c>
      <c r="J226" s="54">
        <v>226</v>
      </c>
      <c r="K226" s="54">
        <v>225</v>
      </c>
      <c r="L226" s="54" t="e">
        <v>#N/A</v>
      </c>
      <c r="M226" s="54" t="s">
        <v>156</v>
      </c>
      <c r="N226" s="54" t="s">
        <v>156</v>
      </c>
      <c r="O226" s="54" t="s">
        <v>156</v>
      </c>
    </row>
    <row r="227" spans="1:15" x14ac:dyDescent="0.35">
      <c r="A227" s="59" t="s">
        <v>182</v>
      </c>
      <c r="B227" s="60">
        <v>44808</v>
      </c>
      <c r="C227" s="54">
        <v>100.54032268212687</v>
      </c>
      <c r="D227" s="54">
        <v>100.54032268212687</v>
      </c>
      <c r="E227"/>
      <c r="F227"/>
      <c r="G227" t="e">
        <v>#N/A</v>
      </c>
      <c r="H227" s="54">
        <v>193</v>
      </c>
      <c r="I227" s="54">
        <v>35</v>
      </c>
      <c r="J227" s="54">
        <v>227</v>
      </c>
      <c r="K227" s="54">
        <v>226</v>
      </c>
      <c r="L227" s="54" t="e">
        <v>#N/A</v>
      </c>
      <c r="M227" s="54" t="s">
        <v>156</v>
      </c>
      <c r="N227" s="54" t="s">
        <v>156</v>
      </c>
      <c r="O227" s="54" t="s">
        <v>156</v>
      </c>
    </row>
    <row r="228" spans="1:15" x14ac:dyDescent="0.35">
      <c r="A228" s="59" t="s">
        <v>182</v>
      </c>
      <c r="B228" s="60">
        <v>44815</v>
      </c>
      <c r="C228" s="54">
        <v>99.790879486935808</v>
      </c>
      <c r="D228" s="54">
        <v>99.790879486935808</v>
      </c>
      <c r="E228"/>
      <c r="F228"/>
      <c r="G228" t="e">
        <v>#N/A</v>
      </c>
      <c r="H228" s="54">
        <v>193</v>
      </c>
      <c r="I228" s="54">
        <v>36</v>
      </c>
      <c r="J228" s="54">
        <v>228</v>
      </c>
      <c r="K228" s="54">
        <v>227</v>
      </c>
      <c r="L228" s="54" t="e">
        <v>#N/A</v>
      </c>
      <c r="M228" s="54" t="s">
        <v>156</v>
      </c>
      <c r="N228" s="54" t="s">
        <v>156</v>
      </c>
      <c r="O228" s="54" t="s">
        <v>156</v>
      </c>
    </row>
    <row r="229" spans="1:15" x14ac:dyDescent="0.35">
      <c r="A229" s="59" t="s">
        <v>182</v>
      </c>
      <c r="B229" s="60">
        <v>44822</v>
      </c>
      <c r="C229" s="54">
        <v>99.299675146291705</v>
      </c>
      <c r="D229" s="54">
        <v>99.299675146291705</v>
      </c>
      <c r="E229"/>
      <c r="F229"/>
      <c r="G229" t="e">
        <v>#N/A</v>
      </c>
      <c r="H229" s="54">
        <v>193</v>
      </c>
      <c r="I229" s="54">
        <v>37</v>
      </c>
      <c r="J229" s="54">
        <v>229</v>
      </c>
      <c r="K229" s="54">
        <v>228</v>
      </c>
      <c r="L229" s="54" t="e">
        <v>#N/A</v>
      </c>
      <c r="M229" s="54" t="s">
        <v>156</v>
      </c>
      <c r="N229" s="54" t="s">
        <v>156</v>
      </c>
      <c r="O229" s="54" t="s">
        <v>156</v>
      </c>
    </row>
    <row r="230" spans="1:15" x14ac:dyDescent="0.35">
      <c r="A230" s="59" t="s">
        <v>182</v>
      </c>
      <c r="B230" s="60">
        <v>44829</v>
      </c>
      <c r="C230" s="54">
        <v>99.08116365147896</v>
      </c>
      <c r="D230" s="54">
        <v>99.08116365147896</v>
      </c>
      <c r="E230"/>
      <c r="F230"/>
      <c r="G230" t="e">
        <v>#N/A</v>
      </c>
      <c r="H230" s="54">
        <v>193</v>
      </c>
      <c r="I230" s="54">
        <v>38</v>
      </c>
      <c r="J230" s="54">
        <v>230</v>
      </c>
      <c r="K230" s="54">
        <v>229</v>
      </c>
      <c r="L230" s="54" t="e">
        <v>#N/A</v>
      </c>
      <c r="M230" s="54" t="s">
        <v>156</v>
      </c>
      <c r="N230" s="54" t="s">
        <v>156</v>
      </c>
      <c r="O230" s="54" t="s">
        <v>156</v>
      </c>
    </row>
    <row r="231" spans="1:15" x14ac:dyDescent="0.35">
      <c r="A231" s="59" t="s">
        <v>182</v>
      </c>
      <c r="B231" s="60">
        <v>44836</v>
      </c>
      <c r="C231" s="54">
        <v>99.145822518038926</v>
      </c>
      <c r="D231" s="54">
        <v>99.145822518038926</v>
      </c>
      <c r="E231"/>
      <c r="F231"/>
      <c r="G231" t="e">
        <v>#N/A</v>
      </c>
      <c r="H231" s="54">
        <v>193</v>
      </c>
      <c r="I231" s="54">
        <v>39</v>
      </c>
      <c r="J231" s="54">
        <v>231</v>
      </c>
      <c r="K231" s="54">
        <v>230</v>
      </c>
      <c r="L231" s="54" t="e">
        <v>#N/A</v>
      </c>
      <c r="M231" s="54" t="s">
        <v>156</v>
      </c>
      <c r="N231" s="54" t="s">
        <v>156</v>
      </c>
      <c r="O231" s="54" t="s">
        <v>156</v>
      </c>
    </row>
    <row r="232" spans="1:15" x14ac:dyDescent="0.35">
      <c r="A232" s="59" t="s">
        <v>182</v>
      </c>
      <c r="B232" s="60">
        <v>44843</v>
      </c>
      <c r="C232" s="54">
        <v>99.5</v>
      </c>
      <c r="D232" s="54">
        <v>99.5</v>
      </c>
      <c r="E232"/>
      <c r="F232"/>
      <c r="G232" t="e">
        <v>#N/A</v>
      </c>
      <c r="H232" s="54">
        <v>193</v>
      </c>
      <c r="I232" s="54">
        <v>40</v>
      </c>
      <c r="J232" s="54">
        <v>232</v>
      </c>
      <c r="K232" s="54">
        <v>231</v>
      </c>
      <c r="L232" s="54" t="e">
        <v>#N/A</v>
      </c>
      <c r="M232" s="54" t="s">
        <v>156</v>
      </c>
      <c r="N232" s="54" t="s">
        <v>156</v>
      </c>
      <c r="O232" s="54" t="s">
        <v>156</v>
      </c>
    </row>
    <row r="233" spans="1:15" x14ac:dyDescent="0.35">
      <c r="A233" s="59" t="s">
        <v>182</v>
      </c>
      <c r="B233" s="60">
        <v>44850</v>
      </c>
      <c r="C233" s="54">
        <v>100.14582251803893</v>
      </c>
      <c r="D233" s="54">
        <v>100.14582251803893</v>
      </c>
      <c r="E233"/>
      <c r="F233"/>
      <c r="G233" t="e">
        <v>#N/A</v>
      </c>
      <c r="H233" s="54">
        <v>193</v>
      </c>
      <c r="I233" s="54">
        <v>41</v>
      </c>
      <c r="J233" s="54">
        <v>233</v>
      </c>
      <c r="K233" s="54">
        <v>232</v>
      </c>
      <c r="L233" s="54" t="e">
        <v>#N/A</v>
      </c>
      <c r="M233" s="54" t="s">
        <v>156</v>
      </c>
      <c r="N233" s="54" t="s">
        <v>156</v>
      </c>
      <c r="O233" s="54" t="s">
        <v>156</v>
      </c>
    </row>
    <row r="234" spans="1:15" x14ac:dyDescent="0.35">
      <c r="A234" s="59" t="s">
        <v>182</v>
      </c>
      <c r="B234" s="60">
        <v>44857</v>
      </c>
      <c r="C234" s="54">
        <v>101.08116365147896</v>
      </c>
      <c r="D234" s="54">
        <v>101.08116365147896</v>
      </c>
      <c r="E234"/>
      <c r="F234"/>
      <c r="G234" t="e">
        <v>#N/A</v>
      </c>
      <c r="H234" s="54">
        <v>193</v>
      </c>
      <c r="I234" s="54">
        <v>42</v>
      </c>
      <c r="J234" s="54">
        <v>234</v>
      </c>
      <c r="K234" s="54">
        <v>233</v>
      </c>
      <c r="L234" s="54" t="e">
        <v>#N/A</v>
      </c>
      <c r="M234" s="54" t="s">
        <v>156</v>
      </c>
      <c r="N234" s="54" t="s">
        <v>156</v>
      </c>
      <c r="O234" s="54" t="s">
        <v>156</v>
      </c>
    </row>
    <row r="235" spans="1:15" x14ac:dyDescent="0.35">
      <c r="A235" s="59" t="s">
        <v>182</v>
      </c>
      <c r="B235" s="60">
        <v>44864</v>
      </c>
      <c r="C235" s="54">
        <v>102.2996751462917</v>
      </c>
      <c r="D235" s="54">
        <v>102.2996751462917</v>
      </c>
      <c r="E235"/>
      <c r="F235"/>
      <c r="G235" t="e">
        <v>#N/A</v>
      </c>
      <c r="H235" s="54">
        <v>193</v>
      </c>
      <c r="I235" s="54">
        <v>43</v>
      </c>
      <c r="J235" s="54">
        <v>235</v>
      </c>
      <c r="K235" s="54">
        <v>234</v>
      </c>
      <c r="L235" s="54" t="e">
        <v>#N/A</v>
      </c>
      <c r="M235" s="54" t="s">
        <v>156</v>
      </c>
      <c r="N235" s="54" t="s">
        <v>156</v>
      </c>
      <c r="O235" s="54" t="s">
        <v>156</v>
      </c>
    </row>
    <row r="236" spans="1:15" x14ac:dyDescent="0.35">
      <c r="A236" s="59" t="s">
        <v>182</v>
      </c>
      <c r="B236" s="60">
        <v>44871</v>
      </c>
      <c r="C236" s="54">
        <v>103.79087948693579</v>
      </c>
      <c r="D236" s="54">
        <v>103.79087948693579</v>
      </c>
      <c r="E236"/>
      <c r="F236"/>
      <c r="G236" t="e">
        <v>#N/A</v>
      </c>
      <c r="H236" s="54">
        <v>193</v>
      </c>
      <c r="I236" s="54">
        <v>44</v>
      </c>
      <c r="J236" s="54">
        <v>236</v>
      </c>
      <c r="K236" s="54">
        <v>235</v>
      </c>
      <c r="L236" s="54" t="e">
        <v>#N/A</v>
      </c>
      <c r="M236" s="54" t="s">
        <v>156</v>
      </c>
      <c r="N236" s="54" t="s">
        <v>156</v>
      </c>
      <c r="O236" s="54" t="s">
        <v>156</v>
      </c>
    </row>
    <row r="237" spans="1:15" x14ac:dyDescent="0.35">
      <c r="A237" s="59" t="s">
        <v>182</v>
      </c>
      <c r="B237" s="60">
        <v>44878</v>
      </c>
      <c r="C237" s="54">
        <v>105.54032268212686</v>
      </c>
      <c r="D237" s="54">
        <v>105.54032268212686</v>
      </c>
      <c r="E237"/>
      <c r="F237"/>
      <c r="G237" t="e">
        <v>#N/A</v>
      </c>
      <c r="H237" s="54">
        <v>193</v>
      </c>
      <c r="I237" s="54">
        <v>45</v>
      </c>
      <c r="J237" s="54">
        <v>237</v>
      </c>
      <c r="K237" s="54">
        <v>236</v>
      </c>
      <c r="L237" s="54" t="e">
        <v>#N/A</v>
      </c>
      <c r="M237" s="54" t="s">
        <v>156</v>
      </c>
      <c r="N237" s="54" t="s">
        <v>156</v>
      </c>
      <c r="O237" s="54" t="s">
        <v>156</v>
      </c>
    </row>
    <row r="238" spans="1:15" x14ac:dyDescent="0.35">
      <c r="A238" s="59" t="s">
        <v>182</v>
      </c>
      <c r="B238" s="60">
        <v>44885</v>
      </c>
      <c r="C238" s="54">
        <v>107.52978503657798</v>
      </c>
      <c r="D238" s="54">
        <v>107.52978503657798</v>
      </c>
      <c r="E238"/>
      <c r="F238"/>
      <c r="G238" t="e">
        <v>#N/A</v>
      </c>
      <c r="H238" s="54">
        <v>193</v>
      </c>
      <c r="I238" s="54">
        <v>46</v>
      </c>
      <c r="J238" s="54">
        <v>238</v>
      </c>
      <c r="K238" s="54">
        <v>237</v>
      </c>
      <c r="L238" s="54" t="e">
        <v>#N/A</v>
      </c>
      <c r="M238" s="54" t="s">
        <v>156</v>
      </c>
      <c r="N238" s="54" t="s">
        <v>156</v>
      </c>
      <c r="O238" s="54" t="s">
        <v>156</v>
      </c>
    </row>
    <row r="239" spans="1:15" x14ac:dyDescent="0.35">
      <c r="A239" s="59" t="s">
        <v>182</v>
      </c>
      <c r="B239" s="60">
        <v>44892</v>
      </c>
      <c r="C239" s="54">
        <v>109.73754683518409</v>
      </c>
      <c r="D239" s="54">
        <v>109.73754683518409</v>
      </c>
      <c r="E239"/>
      <c r="F239"/>
      <c r="G239" t="e">
        <v>#N/A</v>
      </c>
      <c r="H239" s="54">
        <v>193</v>
      </c>
      <c r="I239" s="54">
        <v>47</v>
      </c>
      <c r="J239" s="54">
        <v>239</v>
      </c>
      <c r="K239" s="54">
        <v>238</v>
      </c>
      <c r="L239" s="54" t="e">
        <v>#N/A</v>
      </c>
      <c r="M239" s="54" t="s">
        <v>156</v>
      </c>
      <c r="N239" s="54" t="s">
        <v>156</v>
      </c>
      <c r="O239" s="54" t="s">
        <v>156</v>
      </c>
    </row>
    <row r="240" spans="1:15" x14ac:dyDescent="0.35">
      <c r="A240" s="59" t="s">
        <v>182</v>
      </c>
      <c r="B240" s="60">
        <v>44899</v>
      </c>
      <c r="C240" s="54">
        <v>112.13870506537688</v>
      </c>
      <c r="D240" s="54">
        <v>112.13870506537688</v>
      </c>
      <c r="E240"/>
      <c r="F240"/>
      <c r="G240" t="e">
        <v>#N/A</v>
      </c>
      <c r="H240" s="54">
        <v>193</v>
      </c>
      <c r="I240" s="54">
        <v>48</v>
      </c>
      <c r="J240" s="54">
        <v>240</v>
      </c>
      <c r="K240" s="54">
        <v>239</v>
      </c>
      <c r="L240" s="54" t="e">
        <v>#N/A</v>
      </c>
      <c r="M240" s="54" t="s">
        <v>156</v>
      </c>
      <c r="N240" s="54" t="s">
        <v>156</v>
      </c>
      <c r="O240" s="54" t="s">
        <v>156</v>
      </c>
    </row>
    <row r="241" spans="1:15" x14ac:dyDescent="0.35">
      <c r="A241" s="59" t="s">
        <v>182</v>
      </c>
      <c r="B241" s="60">
        <v>44906</v>
      </c>
      <c r="C241" s="54">
        <v>114.70553655912462</v>
      </c>
      <c r="D241" s="54">
        <v>114.70553655912462</v>
      </c>
      <c r="E241"/>
      <c r="F241"/>
      <c r="G241" t="e">
        <v>#N/A</v>
      </c>
      <c r="H241" s="54">
        <v>193</v>
      </c>
      <c r="I241" s="54">
        <v>49</v>
      </c>
      <c r="J241" s="54">
        <v>241</v>
      </c>
      <c r="K241" s="54">
        <v>240</v>
      </c>
      <c r="L241" s="54" t="e">
        <v>#N/A</v>
      </c>
      <c r="M241" s="54" t="s">
        <v>156</v>
      </c>
      <c r="N241" s="54" t="s">
        <v>156</v>
      </c>
      <c r="O241" s="54" t="s">
        <v>156</v>
      </c>
    </row>
    <row r="242" spans="1:15" x14ac:dyDescent="0.35">
      <c r="A242" s="59" t="s">
        <v>182</v>
      </c>
      <c r="B242" s="60">
        <v>44913</v>
      </c>
      <c r="C242" s="54">
        <v>117.40790225914928</v>
      </c>
      <c r="D242" s="54">
        <v>117.40790225914928</v>
      </c>
      <c r="E242"/>
      <c r="F242"/>
      <c r="G242" t="e">
        <v>#N/A</v>
      </c>
      <c r="H242" s="54">
        <v>193</v>
      </c>
      <c r="I242" s="54">
        <v>50</v>
      </c>
      <c r="J242" s="54">
        <v>242</v>
      </c>
      <c r="K242" s="54">
        <v>241</v>
      </c>
      <c r="L242" s="54" t="e">
        <v>#N/A</v>
      </c>
      <c r="M242" s="54" t="s">
        <v>156</v>
      </c>
      <c r="N242" s="54" t="s">
        <v>156</v>
      </c>
      <c r="O242" s="54" t="s">
        <v>156</v>
      </c>
    </row>
    <row r="243" spans="1:15" x14ac:dyDescent="0.35">
      <c r="A243" s="59" t="s">
        <v>182</v>
      </c>
      <c r="B243" s="60">
        <v>44920</v>
      </c>
      <c r="C243" s="54">
        <v>120.21368671424884</v>
      </c>
      <c r="D243" s="54">
        <v>120.21368671424884</v>
      </c>
      <c r="E243"/>
      <c r="F243"/>
      <c r="G243" t="e">
        <v>#N/A</v>
      </c>
      <c r="H243" s="54">
        <v>193</v>
      </c>
      <c r="I243" s="54">
        <v>51</v>
      </c>
      <c r="J243" s="54">
        <v>243</v>
      </c>
      <c r="K243" s="54">
        <v>242</v>
      </c>
      <c r="L243" s="54" t="e">
        <v>#N/A</v>
      </c>
      <c r="M243" s="54" t="s">
        <v>156</v>
      </c>
      <c r="N243" s="54" t="s">
        <v>156</v>
      </c>
      <c r="O243" s="54" t="s">
        <v>156</v>
      </c>
    </row>
    <row r="244" spans="1:15" x14ac:dyDescent="0.35">
      <c r="A244" s="59" t="s">
        <v>182</v>
      </c>
      <c r="B244" s="60">
        <v>44927</v>
      </c>
      <c r="C244" s="54">
        <v>123.08926639489353</v>
      </c>
      <c r="D244" s="54">
        <v>123.08926639489353</v>
      </c>
      <c r="E244"/>
      <c r="F244"/>
      <c r="G244" t="e">
        <v>#N/A</v>
      </c>
      <c r="H244" s="54">
        <v>193</v>
      </c>
      <c r="I244" s="54">
        <v>52</v>
      </c>
      <c r="J244" s="54">
        <v>244</v>
      </c>
      <c r="K244" s="54">
        <v>243</v>
      </c>
      <c r="L244" s="54" t="e">
        <v>#N/A</v>
      </c>
      <c r="M244" s="54" t="s">
        <v>156</v>
      </c>
      <c r="N244" s="54" t="s">
        <v>156</v>
      </c>
      <c r="O244" s="54" t="s">
        <v>156</v>
      </c>
    </row>
    <row r="245" spans="1:15" x14ac:dyDescent="0.35">
      <c r="A245" s="59" t="s">
        <v>182</v>
      </c>
      <c r="B245" s="60">
        <v>44934</v>
      </c>
      <c r="C245" s="54">
        <v>126.00000000000001</v>
      </c>
      <c r="D245" s="54">
        <v>126.00000000000001</v>
      </c>
      <c r="E245"/>
      <c r="F245"/>
      <c r="G245" t="e">
        <v>#N/A</v>
      </c>
      <c r="H245" s="54">
        <v>193</v>
      </c>
      <c r="I245" s="54">
        <v>53</v>
      </c>
      <c r="J245" s="54">
        <v>245</v>
      </c>
      <c r="K245" s="54">
        <v>244</v>
      </c>
      <c r="L245" s="54" t="e">
        <v>#N/A</v>
      </c>
      <c r="M245" s="54" t="s">
        <v>156</v>
      </c>
      <c r="N245" s="54" t="s">
        <v>156</v>
      </c>
      <c r="O245" s="54" t="s">
        <v>156</v>
      </c>
    </row>
    <row r="246" spans="1:15" x14ac:dyDescent="0.35">
      <c r="A246" s="59" t="s">
        <v>182</v>
      </c>
      <c r="B246" s="60">
        <v>44941</v>
      </c>
      <c r="C246" s="54">
        <v>128.91073360510646</v>
      </c>
      <c r="D246" s="54">
        <v>128.91073360510646</v>
      </c>
      <c r="E246"/>
      <c r="F246"/>
      <c r="G246" t="e">
        <v>#N/A</v>
      </c>
      <c r="H246" s="54">
        <v>193</v>
      </c>
      <c r="I246" s="54">
        <v>54</v>
      </c>
      <c r="J246" s="54">
        <v>246</v>
      </c>
      <c r="K246" s="54">
        <v>245</v>
      </c>
      <c r="L246" s="54" t="e">
        <v>#N/A</v>
      </c>
      <c r="M246" s="54" t="s">
        <v>156</v>
      </c>
      <c r="N246" s="54" t="s">
        <v>156</v>
      </c>
      <c r="O246" s="54" t="s">
        <v>156</v>
      </c>
    </row>
    <row r="247" spans="1:15" x14ac:dyDescent="0.35">
      <c r="A247" s="59" t="s">
        <v>182</v>
      </c>
      <c r="B247" s="60">
        <v>44948</v>
      </c>
      <c r="C247" s="54">
        <v>131.78631328575113</v>
      </c>
      <c r="D247" s="54">
        <v>131.78631328575113</v>
      </c>
      <c r="E247"/>
      <c r="F247"/>
      <c r="G247" t="e">
        <v>#N/A</v>
      </c>
      <c r="H247" s="54">
        <v>193</v>
      </c>
      <c r="I247" s="54">
        <v>55</v>
      </c>
      <c r="J247" s="54">
        <v>247</v>
      </c>
      <c r="K247" s="54">
        <v>246</v>
      </c>
      <c r="L247" s="54" t="e">
        <v>#N/A</v>
      </c>
      <c r="M247" s="54" t="s">
        <v>156</v>
      </c>
      <c r="N247" s="54" t="s">
        <v>156</v>
      </c>
      <c r="O247" s="54" t="s">
        <v>156</v>
      </c>
    </row>
    <row r="248" spans="1:15" x14ac:dyDescent="0.35">
      <c r="A248" s="59" t="s">
        <v>182</v>
      </c>
      <c r="B248" s="60">
        <v>44955</v>
      </c>
      <c r="C248" s="54">
        <v>134.5920977408507</v>
      </c>
      <c r="D248" s="54">
        <v>134.5920977408507</v>
      </c>
      <c r="E248"/>
      <c r="F248"/>
      <c r="G248" t="e">
        <v>#N/A</v>
      </c>
      <c r="H248" s="54">
        <v>193</v>
      </c>
      <c r="I248" s="54">
        <v>56</v>
      </c>
      <c r="J248" s="54">
        <v>248</v>
      </c>
      <c r="K248" s="54">
        <v>247</v>
      </c>
      <c r="L248" s="54" t="e">
        <v>#N/A</v>
      </c>
      <c r="M248" s="54" t="s">
        <v>156</v>
      </c>
      <c r="N248" s="54" t="s">
        <v>156</v>
      </c>
      <c r="O248" s="54" t="s">
        <v>156</v>
      </c>
    </row>
    <row r="249" spans="1:15" x14ac:dyDescent="0.35">
      <c r="A249" s="59" t="s">
        <v>182</v>
      </c>
      <c r="B249" s="60">
        <v>44962</v>
      </c>
      <c r="C249" s="54">
        <v>137.29446344087535</v>
      </c>
      <c r="D249" s="54">
        <v>137.29446344087535</v>
      </c>
      <c r="E249"/>
      <c r="F249"/>
      <c r="G249" t="e">
        <v>#N/A</v>
      </c>
      <c r="H249" s="54">
        <v>193</v>
      </c>
      <c r="I249" s="54">
        <v>57</v>
      </c>
      <c r="J249" s="54">
        <v>249</v>
      </c>
      <c r="K249" s="54">
        <v>248</v>
      </c>
      <c r="L249" s="54" t="e">
        <v>#N/A</v>
      </c>
      <c r="M249" s="54" t="s">
        <v>156</v>
      </c>
      <c r="N249" s="54" t="s">
        <v>156</v>
      </c>
      <c r="O249" s="54" t="s">
        <v>156</v>
      </c>
    </row>
    <row r="250" spans="1:15" x14ac:dyDescent="0.35">
      <c r="A250" s="59" t="s">
        <v>182</v>
      </c>
      <c r="B250" s="60">
        <v>44969</v>
      </c>
      <c r="C250" s="54">
        <v>139.86129493462312</v>
      </c>
      <c r="D250" s="54">
        <v>139.86129493462312</v>
      </c>
      <c r="E250"/>
      <c r="F250"/>
      <c r="G250" t="e">
        <v>#N/A</v>
      </c>
      <c r="H250" s="54">
        <v>193</v>
      </c>
      <c r="I250" s="54">
        <v>58</v>
      </c>
      <c r="J250" s="54">
        <v>250</v>
      </c>
      <c r="K250" s="54">
        <v>249</v>
      </c>
      <c r="L250" s="54" t="e">
        <v>#N/A</v>
      </c>
      <c r="M250" s="54" t="s">
        <v>156</v>
      </c>
      <c r="N250" s="54" t="s">
        <v>156</v>
      </c>
      <c r="O250" s="54" t="s">
        <v>156</v>
      </c>
    </row>
    <row r="251" spans="1:15" x14ac:dyDescent="0.35">
      <c r="A251" s="59" t="s">
        <v>182</v>
      </c>
      <c r="B251" s="60">
        <v>44976</v>
      </c>
      <c r="C251" s="54">
        <v>142.26245316481589</v>
      </c>
      <c r="D251" s="54">
        <v>142.26245316481589</v>
      </c>
      <c r="E251"/>
      <c r="F251"/>
      <c r="G251" t="e">
        <v>#N/A</v>
      </c>
      <c r="H251" s="54">
        <v>193</v>
      </c>
      <c r="I251" s="54">
        <v>59</v>
      </c>
      <c r="J251" s="54">
        <v>251</v>
      </c>
      <c r="K251" s="54">
        <v>250</v>
      </c>
      <c r="L251" s="54" t="e">
        <v>#N/A</v>
      </c>
      <c r="M251" s="54" t="s">
        <v>156</v>
      </c>
      <c r="N251" s="54" t="s">
        <v>156</v>
      </c>
      <c r="O251" s="54" t="s">
        <v>156</v>
      </c>
    </row>
    <row r="252" spans="1:15" x14ac:dyDescent="0.35">
      <c r="A252" s="59" t="s">
        <v>182</v>
      </c>
      <c r="B252" s="60">
        <v>44983</v>
      </c>
      <c r="C252" s="54">
        <v>144.47021496342202</v>
      </c>
      <c r="D252" s="54">
        <v>144.47021496342202</v>
      </c>
      <c r="E252"/>
      <c r="F252"/>
      <c r="G252" t="e">
        <v>#N/A</v>
      </c>
      <c r="H252" s="54">
        <v>193</v>
      </c>
      <c r="I252" s="54">
        <v>60</v>
      </c>
      <c r="J252" s="54">
        <v>252</v>
      </c>
      <c r="K252" s="54">
        <v>251</v>
      </c>
      <c r="L252" s="54" t="e">
        <v>#N/A</v>
      </c>
      <c r="M252" s="54" t="s">
        <v>156</v>
      </c>
      <c r="N252" s="54" t="s">
        <v>156</v>
      </c>
      <c r="O252" s="54" t="s">
        <v>156</v>
      </c>
    </row>
    <row r="253" spans="1:15" x14ac:dyDescent="0.35">
      <c r="A253" s="59" t="s">
        <v>182</v>
      </c>
      <c r="B253" s="60">
        <v>44990</v>
      </c>
      <c r="C253" s="54">
        <v>146.45967731787312</v>
      </c>
      <c r="D253" s="54">
        <v>146.45967731787312</v>
      </c>
      <c r="E253"/>
      <c r="F253"/>
      <c r="G253" t="e">
        <v>#N/A</v>
      </c>
      <c r="H253" s="54">
        <v>193</v>
      </c>
      <c r="I253" s="54">
        <v>61</v>
      </c>
      <c r="J253" s="54">
        <v>253</v>
      </c>
      <c r="K253" s="54">
        <v>252</v>
      </c>
      <c r="L253" s="54" t="e">
        <v>#N/A</v>
      </c>
      <c r="M253" s="54" t="s">
        <v>156</v>
      </c>
      <c r="N253" s="54" t="s">
        <v>156</v>
      </c>
      <c r="O253" s="54" t="s">
        <v>156</v>
      </c>
    </row>
    <row r="254" spans="1:15" x14ac:dyDescent="0.35">
      <c r="A254" s="59" t="s">
        <v>182</v>
      </c>
      <c r="B254" s="60">
        <v>44997</v>
      </c>
      <c r="C254" s="54">
        <v>148.20912051306419</v>
      </c>
      <c r="D254" s="54">
        <v>148.20912051306419</v>
      </c>
      <c r="E254"/>
      <c r="F254"/>
      <c r="G254" t="e">
        <v>#N/A</v>
      </c>
      <c r="H254" s="54">
        <v>193</v>
      </c>
      <c r="I254" s="54">
        <v>62</v>
      </c>
      <c r="J254" s="54">
        <v>254</v>
      </c>
      <c r="K254" s="54">
        <v>253</v>
      </c>
      <c r="L254" s="54" t="e">
        <v>#N/A</v>
      </c>
      <c r="M254" s="54" t="s">
        <v>156</v>
      </c>
      <c r="N254" s="54" t="s">
        <v>156</v>
      </c>
      <c r="O254" s="54" t="s">
        <v>156</v>
      </c>
    </row>
    <row r="255" spans="1:15" x14ac:dyDescent="0.35">
      <c r="A255" s="59" t="s">
        <v>182</v>
      </c>
      <c r="B255" s="60">
        <v>45004</v>
      </c>
      <c r="C255" s="54">
        <v>149.70032485370831</v>
      </c>
      <c r="D255" s="54">
        <v>149.70032485370831</v>
      </c>
      <c r="E255"/>
      <c r="F255"/>
      <c r="G255" t="e">
        <v>#N/A</v>
      </c>
      <c r="H255" s="54">
        <v>193</v>
      </c>
      <c r="I255" s="54">
        <v>63</v>
      </c>
      <c r="J255" s="54">
        <v>255</v>
      </c>
      <c r="K255" s="54">
        <v>254</v>
      </c>
      <c r="L255" s="54" t="e">
        <v>#N/A</v>
      </c>
      <c r="M255" s="54" t="s">
        <v>156</v>
      </c>
      <c r="N255" s="54" t="s">
        <v>156</v>
      </c>
      <c r="O255" s="54" t="s">
        <v>156</v>
      </c>
    </row>
    <row r="256" spans="1:15" x14ac:dyDescent="0.35">
      <c r="A256" s="59" t="s">
        <v>182</v>
      </c>
      <c r="B256" s="60">
        <v>45011</v>
      </c>
      <c r="C256" s="54">
        <v>150.91883634852104</v>
      </c>
      <c r="D256" s="54">
        <v>150.91883634852104</v>
      </c>
      <c r="E256"/>
      <c r="F256"/>
      <c r="G256" t="e">
        <v>#N/A</v>
      </c>
      <c r="H256" s="54">
        <v>193</v>
      </c>
      <c r="I256" s="54">
        <v>64</v>
      </c>
      <c r="J256" s="54">
        <v>256</v>
      </c>
      <c r="K256" s="54">
        <v>255</v>
      </c>
      <c r="L256" s="54" t="e">
        <v>#N/A</v>
      </c>
      <c r="M256" s="54" t="s">
        <v>156</v>
      </c>
      <c r="N256" s="54" t="s">
        <v>156</v>
      </c>
      <c r="O256" s="54" t="s">
        <v>156</v>
      </c>
    </row>
    <row r="257" spans="1:15" x14ac:dyDescent="0.35">
      <c r="A257" s="59" t="s">
        <v>182</v>
      </c>
      <c r="B257" s="60">
        <v>45018</v>
      </c>
      <c r="C257" s="54">
        <v>151.85417748196107</v>
      </c>
      <c r="D257" s="54">
        <v>151.85417748196107</v>
      </c>
      <c r="E257"/>
      <c r="F257"/>
      <c r="G257" t="e">
        <v>#N/A</v>
      </c>
      <c r="H257" s="54">
        <v>193</v>
      </c>
      <c r="I257" s="54">
        <v>65</v>
      </c>
      <c r="J257" s="54">
        <v>257</v>
      </c>
      <c r="K257" s="54">
        <v>256</v>
      </c>
      <c r="L257" s="54" t="e">
        <v>#N/A</v>
      </c>
      <c r="M257" s="54" t="s">
        <v>156</v>
      </c>
      <c r="N257" s="54" t="s">
        <v>156</v>
      </c>
      <c r="O257" s="54" t="s">
        <v>156</v>
      </c>
    </row>
    <row r="258" spans="1:15" x14ac:dyDescent="0.35">
      <c r="A258" s="59" t="s">
        <v>182</v>
      </c>
      <c r="B258" s="60">
        <v>45025</v>
      </c>
      <c r="C258" s="54">
        <v>152.5</v>
      </c>
      <c r="D258" s="54">
        <v>152.5</v>
      </c>
      <c r="E258"/>
      <c r="F258"/>
      <c r="G258" t="e">
        <v>#N/A</v>
      </c>
      <c r="H258" s="54">
        <v>193</v>
      </c>
      <c r="I258" s="54">
        <v>66</v>
      </c>
      <c r="J258" s="54">
        <v>258</v>
      </c>
      <c r="K258" s="54">
        <v>257</v>
      </c>
      <c r="L258" s="54" t="e">
        <v>#N/A</v>
      </c>
      <c r="M258" s="54" t="s">
        <v>156</v>
      </c>
      <c r="N258" s="54" t="s">
        <v>156</v>
      </c>
      <c r="O258" s="54" t="s">
        <v>156</v>
      </c>
    </row>
    <row r="259" spans="1:15" x14ac:dyDescent="0.35">
      <c r="A259" s="59" t="s">
        <v>182</v>
      </c>
      <c r="B259" s="60">
        <v>45032</v>
      </c>
      <c r="C259" s="54">
        <v>152.85417748196107</v>
      </c>
      <c r="D259" s="54">
        <v>152.85417748196107</v>
      </c>
      <c r="E259"/>
      <c r="F259"/>
      <c r="G259" t="e">
        <v>#N/A</v>
      </c>
      <c r="H259" s="54">
        <v>193</v>
      </c>
      <c r="I259" s="54">
        <v>67</v>
      </c>
      <c r="J259" s="54">
        <v>259</v>
      </c>
      <c r="K259" s="54">
        <v>258</v>
      </c>
      <c r="L259" s="54" t="e">
        <v>#N/A</v>
      </c>
      <c r="M259" s="54" t="s">
        <v>156</v>
      </c>
      <c r="N259" s="54" t="s">
        <v>156</v>
      </c>
      <c r="O259" s="54" t="s">
        <v>156</v>
      </c>
    </row>
    <row r="260" spans="1:15" x14ac:dyDescent="0.35">
      <c r="A260" s="59" t="s">
        <v>182</v>
      </c>
      <c r="B260" s="60">
        <v>45039</v>
      </c>
      <c r="C260" s="54">
        <v>152.91883634852104</v>
      </c>
      <c r="D260" s="54">
        <v>152.91883634852104</v>
      </c>
      <c r="E260"/>
      <c r="F260"/>
      <c r="G260" t="e">
        <v>#N/A</v>
      </c>
      <c r="H260" s="54">
        <v>193</v>
      </c>
      <c r="I260" s="54">
        <v>68</v>
      </c>
      <c r="J260" s="54">
        <v>260</v>
      </c>
      <c r="K260" s="54">
        <v>259</v>
      </c>
      <c r="L260" s="54" t="e">
        <v>#N/A</v>
      </c>
      <c r="M260" s="54" t="s">
        <v>156</v>
      </c>
      <c r="N260" s="54" t="s">
        <v>156</v>
      </c>
      <c r="O260" s="54" t="s">
        <v>156</v>
      </c>
    </row>
    <row r="261" spans="1:15" x14ac:dyDescent="0.35">
      <c r="A261" s="59" t="s">
        <v>182</v>
      </c>
      <c r="B261" s="60">
        <v>45046</v>
      </c>
      <c r="C261" s="54">
        <v>152.70032485370831</v>
      </c>
      <c r="D261" s="54">
        <v>152.70032485370831</v>
      </c>
      <c r="E261"/>
      <c r="F261"/>
      <c r="G261" t="e">
        <v>#N/A</v>
      </c>
      <c r="H261" s="54">
        <v>193</v>
      </c>
      <c r="I261" s="54">
        <v>69</v>
      </c>
      <c r="J261" s="54">
        <v>261</v>
      </c>
      <c r="K261" s="54">
        <v>260</v>
      </c>
      <c r="L261" s="54" t="e">
        <v>#N/A</v>
      </c>
      <c r="M261" s="54" t="s">
        <v>156</v>
      </c>
      <c r="N261" s="54" t="s">
        <v>156</v>
      </c>
      <c r="O261" s="54" t="s">
        <v>156</v>
      </c>
    </row>
    <row r="262" spans="1:15" x14ac:dyDescent="0.35">
      <c r="A262" s="59" t="s">
        <v>182</v>
      </c>
      <c r="B262" s="60">
        <v>45053</v>
      </c>
      <c r="C262" s="54">
        <v>152.20912051306419</v>
      </c>
      <c r="D262" s="54">
        <v>152.20912051306419</v>
      </c>
      <c r="E262"/>
      <c r="F262"/>
      <c r="G262" t="e">
        <v>#N/A</v>
      </c>
      <c r="H262" s="54">
        <v>193</v>
      </c>
      <c r="I262" s="54">
        <v>70</v>
      </c>
      <c r="J262" s="54">
        <v>262</v>
      </c>
      <c r="K262" s="54">
        <v>261</v>
      </c>
      <c r="L262" s="54" t="e">
        <v>#N/A</v>
      </c>
      <c r="M262" s="54" t="s">
        <v>156</v>
      </c>
      <c r="N262" s="54" t="s">
        <v>156</v>
      </c>
      <c r="O262" s="54" t="s">
        <v>156</v>
      </c>
    </row>
    <row r="263" spans="1:15" x14ac:dyDescent="0.35">
      <c r="A263" s="59" t="s">
        <v>182</v>
      </c>
      <c r="B263" s="60">
        <v>45060</v>
      </c>
      <c r="C263" s="54">
        <v>151.45967731787314</v>
      </c>
      <c r="D263" s="54">
        <v>151.45967731787314</v>
      </c>
      <c r="E263"/>
      <c r="F263"/>
      <c r="G263" t="e">
        <v>#N/A</v>
      </c>
      <c r="H263" s="54">
        <v>193</v>
      </c>
      <c r="I263" s="54">
        <v>71</v>
      </c>
      <c r="J263" s="54">
        <v>263</v>
      </c>
      <c r="K263" s="54">
        <v>262</v>
      </c>
      <c r="L263" s="54" t="e">
        <v>#N/A</v>
      </c>
      <c r="M263" s="54" t="s">
        <v>156</v>
      </c>
      <c r="N263" s="54" t="s">
        <v>156</v>
      </c>
      <c r="O263" s="54" t="s">
        <v>156</v>
      </c>
    </row>
    <row r="264" spans="1:15" x14ac:dyDescent="0.35">
      <c r="A264" s="59" t="s">
        <v>182</v>
      </c>
      <c r="B264" s="60">
        <v>45067</v>
      </c>
      <c r="C264" s="54">
        <v>150.47021496342202</v>
      </c>
      <c r="D264" s="54">
        <v>150.47021496342202</v>
      </c>
      <c r="E264"/>
      <c r="F264"/>
      <c r="G264" t="e">
        <v>#N/A</v>
      </c>
      <c r="H264" s="54">
        <v>193</v>
      </c>
      <c r="I264" s="54">
        <v>72</v>
      </c>
      <c r="J264" s="54">
        <v>264</v>
      </c>
      <c r="K264" s="54">
        <v>263</v>
      </c>
      <c r="L264" s="54" t="e">
        <v>#N/A</v>
      </c>
      <c r="M264" s="54" t="s">
        <v>156</v>
      </c>
      <c r="N264" s="54" t="s">
        <v>156</v>
      </c>
      <c r="O264" s="54" t="s">
        <v>156</v>
      </c>
    </row>
    <row r="265" spans="1:15" x14ac:dyDescent="0.35">
      <c r="A265" s="59" t="s">
        <v>182</v>
      </c>
      <c r="B265" s="60">
        <v>45074</v>
      </c>
      <c r="C265" s="54">
        <v>149.26245316481592</v>
      </c>
      <c r="D265" s="54">
        <v>149.26245316481592</v>
      </c>
      <c r="E265"/>
      <c r="F265"/>
      <c r="G265" t="e">
        <v>#N/A</v>
      </c>
      <c r="H265" s="54">
        <v>193</v>
      </c>
      <c r="I265" s="54">
        <v>73</v>
      </c>
      <c r="J265" s="54">
        <v>265</v>
      </c>
      <c r="K265" s="54">
        <v>264</v>
      </c>
      <c r="L265" s="54" t="e">
        <v>#N/A</v>
      </c>
      <c r="M265" s="54" t="s">
        <v>156</v>
      </c>
      <c r="N265" s="54" t="s">
        <v>156</v>
      </c>
      <c r="O265" s="54" t="s">
        <v>156</v>
      </c>
    </row>
    <row r="266" spans="1:15" x14ac:dyDescent="0.35">
      <c r="A266" s="59" t="s">
        <v>182</v>
      </c>
      <c r="B266" s="60">
        <v>45081</v>
      </c>
      <c r="C266" s="54">
        <v>147.86129493462315</v>
      </c>
      <c r="D266" s="54">
        <v>147.86129493462315</v>
      </c>
      <c r="E266"/>
      <c r="F266"/>
      <c r="G266" t="e">
        <v>#N/A</v>
      </c>
      <c r="H266" s="54">
        <v>193</v>
      </c>
      <c r="I266" s="54">
        <v>74</v>
      </c>
      <c r="J266" s="54">
        <v>266</v>
      </c>
      <c r="K266" s="54">
        <v>265</v>
      </c>
      <c r="L266" s="54" t="e">
        <v>#N/A</v>
      </c>
      <c r="M266" s="54" t="s">
        <v>156</v>
      </c>
      <c r="N266" s="54" t="s">
        <v>156</v>
      </c>
      <c r="O266" s="54" t="s">
        <v>156</v>
      </c>
    </row>
    <row r="267" spans="1:15" x14ac:dyDescent="0.35">
      <c r="A267" s="59" t="s">
        <v>182</v>
      </c>
      <c r="B267" s="60">
        <v>45088</v>
      </c>
      <c r="C267" s="54">
        <v>146.29446344087538</v>
      </c>
      <c r="D267" s="54">
        <v>146.29446344087538</v>
      </c>
      <c r="E267"/>
      <c r="F267"/>
      <c r="G267" t="e">
        <v>#N/A</v>
      </c>
      <c r="H267" s="54">
        <v>193</v>
      </c>
      <c r="I267" s="54">
        <v>75</v>
      </c>
      <c r="J267" s="54">
        <v>267</v>
      </c>
      <c r="K267" s="54">
        <v>266</v>
      </c>
      <c r="L267" s="54" t="e">
        <v>#N/A</v>
      </c>
      <c r="M267" s="54" t="s">
        <v>156</v>
      </c>
      <c r="N267" s="54" t="s">
        <v>156</v>
      </c>
      <c r="O267" s="54" t="s">
        <v>156</v>
      </c>
    </row>
    <row r="268" spans="1:15" x14ac:dyDescent="0.35">
      <c r="A268" s="59" t="s">
        <v>182</v>
      </c>
      <c r="B268" s="60">
        <v>45095</v>
      </c>
      <c r="C268" s="54">
        <v>144.59209774085073</v>
      </c>
      <c r="D268" s="54">
        <v>144.59209774085073</v>
      </c>
      <c r="E268"/>
      <c r="F268"/>
      <c r="G268" t="e">
        <v>#N/A</v>
      </c>
      <c r="H268" s="54">
        <v>193</v>
      </c>
      <c r="I268" s="54">
        <v>76</v>
      </c>
      <c r="J268" s="54">
        <v>268</v>
      </c>
      <c r="K268" s="54">
        <v>267</v>
      </c>
      <c r="L268" s="54" t="e">
        <v>#N/A</v>
      </c>
      <c r="M268" s="54" t="s">
        <v>156</v>
      </c>
      <c r="N268" s="54" t="s">
        <v>156</v>
      </c>
      <c r="O268" s="54" t="s">
        <v>156</v>
      </c>
    </row>
    <row r="269" spans="1:15" x14ac:dyDescent="0.35">
      <c r="A269" s="59" t="s">
        <v>182</v>
      </c>
      <c r="B269" s="60">
        <v>45102</v>
      </c>
      <c r="C269" s="54">
        <v>142.78631328575116</v>
      </c>
      <c r="D269" s="54">
        <v>142.78631328575116</v>
      </c>
      <c r="E269"/>
      <c r="F269"/>
      <c r="G269" t="e">
        <v>#N/A</v>
      </c>
      <c r="H269" s="54">
        <v>193</v>
      </c>
      <c r="I269" s="54">
        <v>77</v>
      </c>
      <c r="J269" s="54">
        <v>269</v>
      </c>
      <c r="K269" s="54">
        <v>268</v>
      </c>
      <c r="L269" s="54" t="e">
        <v>#N/A</v>
      </c>
      <c r="M269" s="54" t="s">
        <v>156</v>
      </c>
      <c r="N269" s="54" t="s">
        <v>156</v>
      </c>
      <c r="O269" s="54" t="s">
        <v>156</v>
      </c>
    </row>
    <row r="270" spans="1:15" x14ac:dyDescent="0.35">
      <c r="A270" s="59" t="s">
        <v>182</v>
      </c>
      <c r="B270" s="60">
        <v>45109</v>
      </c>
      <c r="C270" s="54">
        <v>140.91073360510646</v>
      </c>
      <c r="D270" s="54">
        <v>140.91073360510646</v>
      </c>
      <c r="E270"/>
      <c r="F270"/>
      <c r="G270" t="e">
        <v>#N/A</v>
      </c>
      <c r="H270" s="54">
        <v>193</v>
      </c>
      <c r="I270" s="54">
        <v>78</v>
      </c>
      <c r="J270" s="54">
        <v>270</v>
      </c>
      <c r="K270" s="54">
        <v>269</v>
      </c>
      <c r="L270" s="54" t="e">
        <v>#N/A</v>
      </c>
      <c r="M270" s="54" t="s">
        <v>156</v>
      </c>
      <c r="N270" s="54" t="s">
        <v>156</v>
      </c>
      <c r="O270" s="54" t="s">
        <v>156</v>
      </c>
    </row>
    <row r="271" spans="1:15" x14ac:dyDescent="0.35">
      <c r="A271" s="59" t="s">
        <v>182</v>
      </c>
      <c r="B271" s="60">
        <v>45116</v>
      </c>
      <c r="C271" s="54">
        <v>139</v>
      </c>
      <c r="D271" s="54">
        <v>139</v>
      </c>
      <c r="E271"/>
      <c r="F271"/>
      <c r="G271" t="e">
        <v>#N/A</v>
      </c>
      <c r="H271" s="54">
        <v>193</v>
      </c>
      <c r="I271" s="54">
        <v>79</v>
      </c>
      <c r="J271" s="54">
        <v>271</v>
      </c>
      <c r="K271" s="54">
        <v>270</v>
      </c>
      <c r="L271" s="54" t="e">
        <v>#N/A</v>
      </c>
      <c r="M271" s="54" t="s">
        <v>156</v>
      </c>
      <c r="N271" s="54" t="s">
        <v>156</v>
      </c>
      <c r="O271" s="54" t="s">
        <v>156</v>
      </c>
    </row>
    <row r="272" spans="1:15" x14ac:dyDescent="0.35">
      <c r="A272" s="59" t="s">
        <v>182</v>
      </c>
      <c r="B272" s="60">
        <v>45123</v>
      </c>
      <c r="C272" s="54">
        <v>137.08926639489351</v>
      </c>
      <c r="D272" s="54">
        <v>137.08926639489351</v>
      </c>
      <c r="E272"/>
      <c r="F272"/>
      <c r="G272" t="e">
        <v>#N/A</v>
      </c>
      <c r="H272" s="54">
        <v>193</v>
      </c>
      <c r="I272" s="54">
        <v>80</v>
      </c>
      <c r="J272" s="54">
        <v>272</v>
      </c>
      <c r="K272" s="54">
        <v>271</v>
      </c>
      <c r="L272" s="54" t="e">
        <v>#N/A</v>
      </c>
      <c r="M272" s="54" t="s">
        <v>156</v>
      </c>
      <c r="N272" s="54" t="s">
        <v>156</v>
      </c>
      <c r="O272" s="54" t="s">
        <v>156</v>
      </c>
    </row>
    <row r="273" spans="1:15" x14ac:dyDescent="0.35">
      <c r="A273" s="59" t="s">
        <v>182</v>
      </c>
      <c r="B273" s="60">
        <v>45130</v>
      </c>
      <c r="C273" s="54">
        <v>135.21368671424884</v>
      </c>
      <c r="D273" s="54">
        <v>135.21368671424884</v>
      </c>
      <c r="E273"/>
      <c r="F273"/>
      <c r="G273" t="e">
        <v>#N/A</v>
      </c>
      <c r="H273" s="54">
        <v>193</v>
      </c>
      <c r="I273" s="54">
        <v>81</v>
      </c>
      <c r="J273" s="54">
        <v>273</v>
      </c>
      <c r="K273" s="54">
        <v>272</v>
      </c>
      <c r="L273" s="54" t="e">
        <v>#N/A</v>
      </c>
      <c r="M273" s="54" t="s">
        <v>156</v>
      </c>
      <c r="N273" s="54" t="s">
        <v>156</v>
      </c>
      <c r="O273" s="54" t="s">
        <v>156</v>
      </c>
    </row>
    <row r="274" spans="1:15" x14ac:dyDescent="0.35">
      <c r="A274" s="59" t="s">
        <v>182</v>
      </c>
      <c r="B274" s="60">
        <v>45137</v>
      </c>
      <c r="C274" s="54">
        <v>133.4079022591493</v>
      </c>
      <c r="D274" s="54">
        <v>133.4079022591493</v>
      </c>
      <c r="E274"/>
      <c r="F274"/>
      <c r="G274" t="e">
        <v>#N/A</v>
      </c>
      <c r="H274" s="54">
        <v>193</v>
      </c>
      <c r="I274" s="54">
        <v>82</v>
      </c>
      <c r="J274" s="54">
        <v>274</v>
      </c>
      <c r="K274" s="54">
        <v>273</v>
      </c>
      <c r="L274" s="54" t="e">
        <v>#N/A</v>
      </c>
      <c r="M274" s="54" t="s">
        <v>156</v>
      </c>
      <c r="N274" s="54" t="s">
        <v>156</v>
      </c>
      <c r="O274" s="54" t="s">
        <v>156</v>
      </c>
    </row>
    <row r="275" spans="1:15" x14ac:dyDescent="0.35">
      <c r="A275" s="59" t="s">
        <v>182</v>
      </c>
      <c r="B275" s="60">
        <v>45144</v>
      </c>
      <c r="C275" s="54">
        <v>131.70553655912465</v>
      </c>
      <c r="D275" s="54">
        <v>131.70553655912465</v>
      </c>
      <c r="E275"/>
      <c r="F275"/>
      <c r="G275" t="e">
        <v>#N/A</v>
      </c>
      <c r="H275" s="54">
        <v>193</v>
      </c>
      <c r="I275" s="54">
        <v>83</v>
      </c>
      <c r="J275" s="54">
        <v>275</v>
      </c>
      <c r="K275" s="54">
        <v>274</v>
      </c>
      <c r="L275" s="54" t="e">
        <v>#N/A</v>
      </c>
      <c r="M275" s="54" t="s">
        <v>156</v>
      </c>
      <c r="N275" s="54" t="s">
        <v>156</v>
      </c>
      <c r="O275" s="54" t="s">
        <v>156</v>
      </c>
    </row>
    <row r="276" spans="1:15" x14ac:dyDescent="0.35">
      <c r="A276" s="59" t="s">
        <v>182</v>
      </c>
      <c r="B276" s="60">
        <v>45151</v>
      </c>
      <c r="C276" s="54">
        <v>130.13870506537688</v>
      </c>
      <c r="D276" s="54">
        <v>130.13870506537688</v>
      </c>
      <c r="E276"/>
      <c r="F276"/>
      <c r="G276" t="e">
        <v>#N/A</v>
      </c>
      <c r="H276" s="54">
        <v>193</v>
      </c>
      <c r="I276" s="54">
        <v>84</v>
      </c>
      <c r="J276" s="54">
        <v>276</v>
      </c>
      <c r="K276" s="54">
        <v>275</v>
      </c>
      <c r="L276" s="54" t="e">
        <v>#N/A</v>
      </c>
      <c r="M276" s="54" t="s">
        <v>156</v>
      </c>
      <c r="N276" s="54" t="s">
        <v>156</v>
      </c>
      <c r="O276" s="54" t="s">
        <v>156</v>
      </c>
    </row>
    <row r="277" spans="1:15" x14ac:dyDescent="0.35">
      <c r="A277" s="59" t="s">
        <v>182</v>
      </c>
      <c r="B277" s="60">
        <v>45158</v>
      </c>
      <c r="C277" s="54">
        <v>128.73754683518411</v>
      </c>
      <c r="D277" s="54">
        <v>128.73754683518411</v>
      </c>
      <c r="E277"/>
      <c r="F277"/>
      <c r="G277" t="e">
        <v>#N/A</v>
      </c>
      <c r="H277" s="54">
        <v>193</v>
      </c>
      <c r="I277" s="54">
        <v>85</v>
      </c>
      <c r="J277" s="54">
        <v>277</v>
      </c>
      <c r="K277" s="54">
        <v>276</v>
      </c>
      <c r="L277" s="54" t="e">
        <v>#N/A</v>
      </c>
      <c r="M277" s="54" t="s">
        <v>156</v>
      </c>
      <c r="N277" s="54" t="s">
        <v>156</v>
      </c>
      <c r="O277" s="54" t="s">
        <v>156</v>
      </c>
    </row>
    <row r="278" spans="1:15" x14ac:dyDescent="0.35">
      <c r="A278" s="59" t="s">
        <v>182</v>
      </c>
      <c r="B278" s="60">
        <v>45165</v>
      </c>
      <c r="C278" s="54">
        <v>127.52978503657799</v>
      </c>
      <c r="D278" s="54">
        <v>127.52978503657799</v>
      </c>
      <c r="E278"/>
      <c r="F278"/>
      <c r="G278" t="e">
        <v>#N/A</v>
      </c>
      <c r="H278" s="54">
        <v>193</v>
      </c>
      <c r="I278" s="54">
        <v>86</v>
      </c>
      <c r="J278" s="54">
        <v>278</v>
      </c>
      <c r="K278" s="54">
        <v>277</v>
      </c>
      <c r="L278" s="54" t="e">
        <v>#N/A</v>
      </c>
      <c r="M278" s="54" t="s">
        <v>156</v>
      </c>
      <c r="N278" s="54" t="s">
        <v>156</v>
      </c>
      <c r="O278" s="54" t="s">
        <v>156</v>
      </c>
    </row>
    <row r="279" spans="1:15" x14ac:dyDescent="0.35">
      <c r="A279" s="59" t="s">
        <v>182</v>
      </c>
      <c r="B279" s="60">
        <v>45172</v>
      </c>
      <c r="C279" s="54">
        <v>126.54032268212688</v>
      </c>
      <c r="D279" s="54">
        <v>126.54032268212688</v>
      </c>
      <c r="E279"/>
      <c r="F279"/>
      <c r="G279" t="e">
        <v>#N/A</v>
      </c>
      <c r="H279" s="54">
        <v>193</v>
      </c>
      <c r="I279" s="54">
        <v>87</v>
      </c>
      <c r="J279" s="54">
        <v>279</v>
      </c>
      <c r="K279" s="54">
        <v>278</v>
      </c>
      <c r="L279" s="54" t="e">
        <v>#N/A</v>
      </c>
      <c r="M279" s="54" t="s">
        <v>156</v>
      </c>
      <c r="N279" s="54" t="s">
        <v>156</v>
      </c>
      <c r="O279" s="54" t="s">
        <v>156</v>
      </c>
    </row>
    <row r="280" spans="1:15" x14ac:dyDescent="0.35">
      <c r="A280" s="59" t="s">
        <v>182</v>
      </c>
      <c r="B280" s="60">
        <v>45179</v>
      </c>
      <c r="C280" s="54">
        <v>125.79087948693582</v>
      </c>
      <c r="D280" s="54">
        <v>125.79087948693582</v>
      </c>
      <c r="E280"/>
      <c r="F280"/>
      <c r="G280" t="e">
        <v>#N/A</v>
      </c>
      <c r="H280" s="54">
        <v>193</v>
      </c>
      <c r="I280" s="54">
        <v>88</v>
      </c>
      <c r="J280" s="54">
        <v>280</v>
      </c>
      <c r="K280" s="54">
        <v>279</v>
      </c>
      <c r="L280" s="54" t="e">
        <v>#N/A</v>
      </c>
      <c r="M280" s="54" t="s">
        <v>156</v>
      </c>
      <c r="N280" s="54" t="s">
        <v>156</v>
      </c>
      <c r="O280" s="54" t="s">
        <v>156</v>
      </c>
    </row>
    <row r="281" spans="1:15" x14ac:dyDescent="0.35">
      <c r="A281" s="59" t="s">
        <v>182</v>
      </c>
      <c r="B281" s="60">
        <v>45186</v>
      </c>
      <c r="C281" s="54">
        <v>125.29967514629172</v>
      </c>
      <c r="D281" s="54">
        <v>125.29967514629172</v>
      </c>
      <c r="E281"/>
      <c r="F281"/>
      <c r="G281" t="e">
        <v>#N/A</v>
      </c>
      <c r="H281" s="54">
        <v>193</v>
      </c>
      <c r="I281" s="54">
        <v>89</v>
      </c>
      <c r="J281" s="54">
        <v>281</v>
      </c>
      <c r="K281" s="54">
        <v>280</v>
      </c>
      <c r="L281" s="54" t="e">
        <v>#N/A</v>
      </c>
      <c r="M281" s="54" t="s">
        <v>156</v>
      </c>
      <c r="N281" s="54" t="s">
        <v>156</v>
      </c>
      <c r="O281" s="54" t="s">
        <v>156</v>
      </c>
    </row>
    <row r="282" spans="1:15" x14ac:dyDescent="0.35">
      <c r="A282" s="59" t="s">
        <v>182</v>
      </c>
      <c r="B282" s="60">
        <v>45193</v>
      </c>
      <c r="C282" s="54">
        <v>125.08116365147896</v>
      </c>
      <c r="D282" s="54">
        <v>125.08116365147896</v>
      </c>
      <c r="E282"/>
      <c r="F282"/>
      <c r="G282" t="e">
        <v>#N/A</v>
      </c>
      <c r="H282" s="54">
        <v>193</v>
      </c>
      <c r="I282" s="54">
        <v>90</v>
      </c>
      <c r="J282" s="54">
        <v>282</v>
      </c>
      <c r="K282" s="54">
        <v>281</v>
      </c>
      <c r="L282" s="54" t="e">
        <v>#N/A</v>
      </c>
      <c r="M282" s="54" t="s">
        <v>156</v>
      </c>
      <c r="N282" s="54" t="s">
        <v>156</v>
      </c>
      <c r="O282" s="54" t="s">
        <v>156</v>
      </c>
    </row>
    <row r="283" spans="1:15" x14ac:dyDescent="0.35">
      <c r="A283" s="59" t="s">
        <v>182</v>
      </c>
      <c r="B283" s="60">
        <v>45200</v>
      </c>
      <c r="C283" s="54">
        <v>125.14582251803893</v>
      </c>
      <c r="D283" s="54">
        <v>125.14582251803893</v>
      </c>
      <c r="E283"/>
      <c r="F283"/>
      <c r="G283" t="e">
        <v>#N/A</v>
      </c>
      <c r="H283" s="54">
        <v>193</v>
      </c>
      <c r="I283" s="54">
        <v>91</v>
      </c>
      <c r="J283" s="54">
        <v>283</v>
      </c>
      <c r="K283" s="54">
        <v>282</v>
      </c>
      <c r="L283" s="54" t="e">
        <v>#N/A</v>
      </c>
      <c r="M283" s="54" t="s">
        <v>156</v>
      </c>
      <c r="N283" s="54" t="s">
        <v>156</v>
      </c>
      <c r="O283" s="54" t="s">
        <v>156</v>
      </c>
    </row>
    <row r="284" spans="1:15" x14ac:dyDescent="0.35">
      <c r="A284" s="59" t="s">
        <v>182</v>
      </c>
      <c r="B284" s="60">
        <v>45207</v>
      </c>
      <c r="C284" s="54">
        <v>125.5</v>
      </c>
      <c r="D284" s="54">
        <v>125.5</v>
      </c>
      <c r="E284"/>
      <c r="F284"/>
      <c r="G284" t="e">
        <v>#N/A</v>
      </c>
      <c r="H284" s="54">
        <v>193</v>
      </c>
      <c r="I284" s="54">
        <v>92</v>
      </c>
      <c r="J284" s="54">
        <v>284</v>
      </c>
      <c r="K284" s="54">
        <v>283</v>
      </c>
      <c r="L284" s="54" t="e">
        <v>#N/A</v>
      </c>
      <c r="M284" s="54" t="s">
        <v>156</v>
      </c>
      <c r="N284" s="54" t="s">
        <v>156</v>
      </c>
      <c r="O284" s="54" t="s">
        <v>156</v>
      </c>
    </row>
    <row r="285" spans="1:15" x14ac:dyDescent="0.35">
      <c r="A285" s="59" t="s">
        <v>182</v>
      </c>
      <c r="B285" s="60">
        <v>45214</v>
      </c>
      <c r="C285" s="54">
        <v>126.14582251803893</v>
      </c>
      <c r="D285" s="54">
        <v>126.14582251803893</v>
      </c>
      <c r="E285"/>
      <c r="F285"/>
      <c r="G285" t="e">
        <v>#N/A</v>
      </c>
      <c r="H285" s="54">
        <v>193</v>
      </c>
      <c r="I285" s="54">
        <v>93</v>
      </c>
      <c r="J285" s="54">
        <v>285</v>
      </c>
      <c r="K285" s="54">
        <v>284</v>
      </c>
      <c r="L285" s="54" t="e">
        <v>#N/A</v>
      </c>
      <c r="M285" s="54" t="s">
        <v>156</v>
      </c>
      <c r="N285" s="54" t="s">
        <v>156</v>
      </c>
      <c r="O285" s="54" t="s">
        <v>156</v>
      </c>
    </row>
    <row r="286" spans="1:15" x14ac:dyDescent="0.35">
      <c r="A286" s="59" t="s">
        <v>182</v>
      </c>
      <c r="B286" s="60">
        <v>45221</v>
      </c>
      <c r="C286" s="54">
        <v>127.08116365147896</v>
      </c>
      <c r="D286" s="54">
        <v>127.08116365147896</v>
      </c>
      <c r="E286"/>
      <c r="F286"/>
      <c r="G286" t="e">
        <v>#N/A</v>
      </c>
      <c r="H286" s="54">
        <v>193</v>
      </c>
      <c r="I286" s="54">
        <v>94</v>
      </c>
      <c r="J286" s="54">
        <v>286</v>
      </c>
      <c r="K286" s="54">
        <v>285</v>
      </c>
      <c r="L286" s="54" t="e">
        <v>#N/A</v>
      </c>
      <c r="M286" s="54" t="s">
        <v>156</v>
      </c>
      <c r="N286" s="54" t="s">
        <v>156</v>
      </c>
      <c r="O286" s="54" t="s">
        <v>156</v>
      </c>
    </row>
    <row r="287" spans="1:15" x14ac:dyDescent="0.35">
      <c r="A287" s="59" t="s">
        <v>182</v>
      </c>
      <c r="B287" s="60">
        <v>45228</v>
      </c>
      <c r="C287" s="54">
        <v>128.29967514629169</v>
      </c>
      <c r="D287" s="54">
        <v>128.29967514629169</v>
      </c>
      <c r="E287"/>
      <c r="F287"/>
      <c r="G287" t="e">
        <v>#N/A</v>
      </c>
      <c r="H287" s="54">
        <v>193</v>
      </c>
      <c r="I287" s="54">
        <v>95</v>
      </c>
      <c r="J287" s="54">
        <v>287</v>
      </c>
      <c r="K287" s="54">
        <v>286</v>
      </c>
      <c r="L287" s="54" t="e">
        <v>#N/A</v>
      </c>
      <c r="M287" s="54" t="s">
        <v>156</v>
      </c>
      <c r="N287" s="54" t="s">
        <v>156</v>
      </c>
      <c r="O287" s="54" t="s">
        <v>156</v>
      </c>
    </row>
    <row r="288" spans="1:15" x14ac:dyDescent="0.35">
      <c r="A288" s="59" t="s">
        <v>182</v>
      </c>
      <c r="B288" s="60">
        <v>45235</v>
      </c>
      <c r="C288" s="54">
        <v>129.79087948693581</v>
      </c>
      <c r="D288" s="54">
        <v>129.79087948693581</v>
      </c>
      <c r="E288"/>
      <c r="F288"/>
      <c r="G288" t="e">
        <v>#N/A</v>
      </c>
      <c r="H288" s="54">
        <v>193</v>
      </c>
      <c r="I288" s="54">
        <v>96</v>
      </c>
      <c r="J288" s="54">
        <v>288</v>
      </c>
      <c r="K288" s="54">
        <v>287</v>
      </c>
      <c r="L288" s="54" t="e">
        <v>#N/A</v>
      </c>
      <c r="M288" s="54" t="s">
        <v>156</v>
      </c>
      <c r="N288" s="54" t="s">
        <v>156</v>
      </c>
      <c r="O288" s="54" t="s">
        <v>156</v>
      </c>
    </row>
    <row r="289" spans="1:15" x14ac:dyDescent="0.35">
      <c r="A289" s="59" t="s">
        <v>182</v>
      </c>
      <c r="B289" s="60">
        <v>45242</v>
      </c>
      <c r="C289" s="54">
        <v>131.54032268212688</v>
      </c>
      <c r="D289" s="54">
        <v>131.54032268212688</v>
      </c>
      <c r="E289"/>
      <c r="F289"/>
      <c r="G289" t="e">
        <v>#N/A</v>
      </c>
      <c r="H289" s="54">
        <v>193</v>
      </c>
      <c r="I289" s="54">
        <v>97</v>
      </c>
      <c r="J289" s="54">
        <v>289</v>
      </c>
      <c r="K289" s="54">
        <v>288</v>
      </c>
      <c r="L289" s="54" t="e">
        <v>#N/A</v>
      </c>
      <c r="M289" s="54" t="s">
        <v>156</v>
      </c>
      <c r="N289" s="54" t="s">
        <v>156</v>
      </c>
      <c r="O289" s="54" t="s">
        <v>156</v>
      </c>
    </row>
    <row r="290" spans="1:15" x14ac:dyDescent="0.35">
      <c r="A290" s="59" t="s">
        <v>182</v>
      </c>
      <c r="B290" s="60">
        <v>45249</v>
      </c>
      <c r="C290" s="54">
        <v>133.52978503657798</v>
      </c>
      <c r="D290" s="54">
        <v>133.52978503657798</v>
      </c>
      <c r="E290"/>
      <c r="F290"/>
      <c r="G290" t="e">
        <v>#N/A</v>
      </c>
      <c r="H290" s="54">
        <v>193</v>
      </c>
      <c r="I290" s="54">
        <v>98</v>
      </c>
      <c r="J290" s="54">
        <v>290</v>
      </c>
      <c r="K290" s="54">
        <v>289</v>
      </c>
      <c r="L290" s="54" t="e">
        <v>#N/A</v>
      </c>
      <c r="M290" s="54" t="s">
        <v>156</v>
      </c>
      <c r="N290" s="54" t="s">
        <v>156</v>
      </c>
      <c r="O290" s="54" t="s">
        <v>156</v>
      </c>
    </row>
    <row r="291" spans="1:15" x14ac:dyDescent="0.35">
      <c r="A291" s="59" t="s">
        <v>182</v>
      </c>
      <c r="B291" s="60">
        <v>45256</v>
      </c>
      <c r="C291" s="54">
        <v>135.73754683518408</v>
      </c>
      <c r="D291" s="54">
        <v>135.73754683518408</v>
      </c>
      <c r="E291"/>
      <c r="F291"/>
      <c r="G291" t="e">
        <v>#N/A</v>
      </c>
      <c r="H291" s="54">
        <v>193</v>
      </c>
      <c r="I291" s="54">
        <v>99</v>
      </c>
      <c r="J291" s="54">
        <v>291</v>
      </c>
      <c r="K291" s="54">
        <v>290</v>
      </c>
      <c r="L291" s="54" t="e">
        <v>#N/A</v>
      </c>
      <c r="M291" s="54" t="s">
        <v>156</v>
      </c>
      <c r="N291" s="54" t="s">
        <v>156</v>
      </c>
      <c r="O291" s="54" t="s">
        <v>156</v>
      </c>
    </row>
    <row r="292" spans="1:15" x14ac:dyDescent="0.35">
      <c r="A292" s="59" t="s">
        <v>182</v>
      </c>
      <c r="B292" s="60">
        <v>45263</v>
      </c>
      <c r="C292" s="54">
        <v>138.13870506537688</v>
      </c>
      <c r="D292" s="54">
        <v>138.13870506537688</v>
      </c>
      <c r="E292"/>
      <c r="F292"/>
      <c r="G292" t="e">
        <v>#N/A</v>
      </c>
      <c r="H292" s="54">
        <v>193</v>
      </c>
      <c r="I292" s="54">
        <v>100</v>
      </c>
      <c r="J292" s="54">
        <v>292</v>
      </c>
      <c r="K292" s="54">
        <v>291</v>
      </c>
      <c r="L292" s="54" t="e">
        <v>#N/A</v>
      </c>
      <c r="M292" s="54" t="s">
        <v>156</v>
      </c>
      <c r="N292" s="54" t="s">
        <v>156</v>
      </c>
      <c r="O292" s="54" t="s">
        <v>156</v>
      </c>
    </row>
    <row r="293" spans="1:15" x14ac:dyDescent="0.35">
      <c r="A293" s="59" t="s">
        <v>182</v>
      </c>
      <c r="B293" s="60">
        <v>45270</v>
      </c>
      <c r="C293" s="54">
        <v>140.70553655912462</v>
      </c>
      <c r="D293" s="54">
        <v>140.70553655912462</v>
      </c>
      <c r="E293"/>
      <c r="F293"/>
      <c r="G293" t="e">
        <v>#N/A</v>
      </c>
      <c r="H293" s="54">
        <v>193</v>
      </c>
      <c r="I293" s="54">
        <v>101</v>
      </c>
      <c r="J293" s="54">
        <v>293</v>
      </c>
      <c r="K293" s="54">
        <v>292</v>
      </c>
      <c r="L293" s="54" t="e">
        <v>#N/A</v>
      </c>
      <c r="M293" s="54" t="s">
        <v>156</v>
      </c>
      <c r="N293" s="54" t="s">
        <v>156</v>
      </c>
      <c r="O293" s="54" t="s">
        <v>156</v>
      </c>
    </row>
    <row r="294" spans="1:15" x14ac:dyDescent="0.35">
      <c r="A294" s="59" t="s">
        <v>182</v>
      </c>
      <c r="B294" s="60">
        <v>45277</v>
      </c>
      <c r="C294" s="54">
        <v>143.40790225914927</v>
      </c>
      <c r="D294" s="54">
        <v>143.40790225914927</v>
      </c>
      <c r="E294"/>
      <c r="F294"/>
      <c r="G294" t="e">
        <v>#N/A</v>
      </c>
      <c r="H294" s="54">
        <v>193</v>
      </c>
      <c r="I294" s="54">
        <v>102</v>
      </c>
      <c r="J294" s="54">
        <v>294</v>
      </c>
      <c r="K294" s="54">
        <v>293</v>
      </c>
      <c r="L294" s="54" t="e">
        <v>#N/A</v>
      </c>
      <c r="M294" s="54" t="s">
        <v>156</v>
      </c>
      <c r="N294" s="54" t="s">
        <v>156</v>
      </c>
      <c r="O294" s="54" t="s">
        <v>156</v>
      </c>
    </row>
    <row r="295" spans="1:15" x14ac:dyDescent="0.35">
      <c r="A295" s="59" t="s">
        <v>182</v>
      </c>
      <c r="B295" s="60">
        <v>45284</v>
      </c>
      <c r="C295" s="54">
        <v>146.21368671424881</v>
      </c>
      <c r="D295" s="54">
        <v>146.21368671424881</v>
      </c>
      <c r="E295"/>
      <c r="F295"/>
      <c r="G295" t="e">
        <v>#N/A</v>
      </c>
      <c r="H295" s="54">
        <v>193</v>
      </c>
      <c r="I295" s="54">
        <v>103</v>
      </c>
      <c r="J295" s="54">
        <v>295</v>
      </c>
      <c r="K295" s="54">
        <v>294</v>
      </c>
      <c r="L295" s="54" t="e">
        <v>#N/A</v>
      </c>
      <c r="M295" s="54" t="s">
        <v>156</v>
      </c>
      <c r="N295" s="54" t="s">
        <v>156</v>
      </c>
      <c r="O295" s="54" t="s">
        <v>156</v>
      </c>
    </row>
    <row r="296" spans="1:15" x14ac:dyDescent="0.35">
      <c r="A296" s="59" t="s">
        <v>182</v>
      </c>
      <c r="B296" s="60">
        <v>45291</v>
      </c>
      <c r="C296" s="54">
        <v>149.08926639489351</v>
      </c>
      <c r="D296" s="54">
        <v>149.08926639489351</v>
      </c>
      <c r="E296"/>
      <c r="F296"/>
      <c r="G296" t="e">
        <v>#N/A</v>
      </c>
      <c r="H296" s="54">
        <v>193</v>
      </c>
      <c r="I296" s="54">
        <v>104</v>
      </c>
      <c r="J296" s="54">
        <v>296</v>
      </c>
      <c r="K296" s="54">
        <v>295</v>
      </c>
      <c r="L296" s="54" t="e">
        <v>#N/A</v>
      </c>
      <c r="M296" s="54" t="s">
        <v>156</v>
      </c>
      <c r="N296" s="54" t="s">
        <v>156</v>
      </c>
      <c r="O296" s="54" t="s">
        <v>156</v>
      </c>
    </row>
    <row r="297" spans="1:15" x14ac:dyDescent="0.35">
      <c r="A297" s="59" t="s">
        <v>182</v>
      </c>
      <c r="B297" s="60">
        <v>45298</v>
      </c>
      <c r="C297" s="54">
        <v>152.00000000000003</v>
      </c>
      <c r="D297" s="54">
        <v>152.00000000000003</v>
      </c>
      <c r="E297"/>
      <c r="F297"/>
      <c r="G297" t="e">
        <v>#N/A</v>
      </c>
      <c r="H297" s="54">
        <v>193</v>
      </c>
      <c r="I297" s="54">
        <v>105</v>
      </c>
      <c r="J297" s="54">
        <v>297</v>
      </c>
      <c r="K297" s="54">
        <v>296</v>
      </c>
      <c r="L297" s="54" t="e">
        <v>#N/A</v>
      </c>
      <c r="M297" s="54" t="s">
        <v>156</v>
      </c>
      <c r="N297" s="54" t="s">
        <v>156</v>
      </c>
      <c r="O297" s="54" t="s">
        <v>156</v>
      </c>
    </row>
    <row r="298" spans="1:15" x14ac:dyDescent="0.35">
      <c r="A298" s="59" t="s">
        <v>182</v>
      </c>
      <c r="B298" s="60">
        <v>45305</v>
      </c>
      <c r="C298" s="54">
        <v>154.91073360510649</v>
      </c>
      <c r="D298" s="54">
        <v>154.91073360510649</v>
      </c>
      <c r="E298"/>
      <c r="F298"/>
      <c r="G298" t="e">
        <v>#N/A</v>
      </c>
      <c r="H298" s="54">
        <v>193</v>
      </c>
      <c r="I298" s="54">
        <v>106</v>
      </c>
      <c r="J298" s="54">
        <v>298</v>
      </c>
      <c r="K298" s="54">
        <v>297</v>
      </c>
      <c r="L298" s="54" t="e">
        <v>#N/A</v>
      </c>
      <c r="M298" s="54" t="s">
        <v>156</v>
      </c>
      <c r="N298" s="54" t="s">
        <v>156</v>
      </c>
      <c r="O298" s="54" t="s">
        <v>156</v>
      </c>
    </row>
    <row r="299" spans="1:15" x14ac:dyDescent="0.35">
      <c r="A299" s="59" t="s">
        <v>182</v>
      </c>
      <c r="B299" s="60">
        <v>45312</v>
      </c>
      <c r="C299" s="54">
        <v>157.78631328575116</v>
      </c>
      <c r="D299" s="54">
        <v>157.78631328575116</v>
      </c>
      <c r="E299"/>
      <c r="F299"/>
      <c r="G299" t="e">
        <v>#N/A</v>
      </c>
      <c r="H299" s="54">
        <v>193</v>
      </c>
      <c r="I299" s="54">
        <v>107</v>
      </c>
      <c r="J299" s="54">
        <v>299</v>
      </c>
      <c r="K299" s="54">
        <v>298</v>
      </c>
      <c r="L299" s="54" t="e">
        <v>#N/A</v>
      </c>
      <c r="M299" s="54" t="s">
        <v>156</v>
      </c>
      <c r="N299" s="54" t="s">
        <v>156</v>
      </c>
      <c r="O299" s="54" t="s">
        <v>156</v>
      </c>
    </row>
    <row r="300" spans="1:15" x14ac:dyDescent="0.35">
      <c r="A300" s="59" t="s">
        <v>182</v>
      </c>
      <c r="B300" s="60">
        <v>45319</v>
      </c>
      <c r="C300" s="54">
        <v>160.5920977408507</v>
      </c>
      <c r="D300" s="54">
        <v>160.5920977408507</v>
      </c>
      <c r="E300"/>
      <c r="F300"/>
      <c r="G300" t="e">
        <v>#N/A</v>
      </c>
      <c r="H300" s="54">
        <v>193</v>
      </c>
      <c r="I300" s="54">
        <v>108</v>
      </c>
      <c r="J300" s="54">
        <v>300</v>
      </c>
      <c r="K300" s="54">
        <v>299</v>
      </c>
      <c r="L300" s="54" t="e">
        <v>#N/A</v>
      </c>
      <c r="M300" s="54" t="s">
        <v>156</v>
      </c>
      <c r="N300" s="54" t="s">
        <v>156</v>
      </c>
      <c r="O300" s="54" t="s">
        <v>156</v>
      </c>
    </row>
    <row r="301" spans="1:15" x14ac:dyDescent="0.35">
      <c r="A301" s="59" t="s">
        <v>182</v>
      </c>
      <c r="B301" s="60">
        <v>45326</v>
      </c>
      <c r="C301" s="54">
        <v>163.29446344087535</v>
      </c>
      <c r="D301" s="54">
        <v>163.29446344087535</v>
      </c>
      <c r="E301"/>
      <c r="F301"/>
      <c r="G301" t="e">
        <v>#N/A</v>
      </c>
      <c r="H301" s="54">
        <v>193</v>
      </c>
      <c r="I301" s="54">
        <v>109</v>
      </c>
      <c r="J301" s="54">
        <v>301</v>
      </c>
      <c r="K301" s="54">
        <v>300</v>
      </c>
      <c r="L301" s="54" t="e">
        <v>#N/A</v>
      </c>
      <c r="M301" s="54" t="s">
        <v>156</v>
      </c>
      <c r="N301" s="54" t="s">
        <v>156</v>
      </c>
      <c r="O301" s="54" t="s">
        <v>156</v>
      </c>
    </row>
    <row r="302" spans="1:15" x14ac:dyDescent="0.35">
      <c r="A302" s="59" t="s">
        <v>182</v>
      </c>
      <c r="B302" s="60">
        <v>45333</v>
      </c>
      <c r="C302" s="54">
        <v>165.86129493462309</v>
      </c>
      <c r="D302" s="54">
        <v>165.86129493462309</v>
      </c>
      <c r="E302"/>
      <c r="F302"/>
      <c r="G302" t="e">
        <v>#N/A</v>
      </c>
      <c r="H302" s="54">
        <v>193</v>
      </c>
      <c r="I302" s="54">
        <v>110</v>
      </c>
      <c r="J302" s="54">
        <v>302</v>
      </c>
      <c r="K302" s="54">
        <v>301</v>
      </c>
      <c r="L302" s="54" t="e">
        <v>#N/A</v>
      </c>
      <c r="M302" s="54" t="s">
        <v>156</v>
      </c>
      <c r="N302" s="54" t="s">
        <v>156</v>
      </c>
      <c r="O302" s="54" t="s">
        <v>156</v>
      </c>
    </row>
    <row r="303" spans="1:15" x14ac:dyDescent="0.35">
      <c r="A303" s="59" t="s">
        <v>182</v>
      </c>
      <c r="B303" s="60">
        <v>45340</v>
      </c>
      <c r="C303" s="54">
        <v>168.26245316481589</v>
      </c>
      <c r="D303" s="54">
        <v>168.26245316481589</v>
      </c>
      <c r="E303"/>
      <c r="F303"/>
      <c r="G303" t="e">
        <v>#N/A</v>
      </c>
      <c r="H303" s="54">
        <v>193</v>
      </c>
      <c r="I303" s="54">
        <v>111</v>
      </c>
      <c r="J303" s="54">
        <v>303</v>
      </c>
      <c r="K303" s="54">
        <v>302</v>
      </c>
      <c r="L303" s="54" t="e">
        <v>#N/A</v>
      </c>
      <c r="M303" s="54" t="s">
        <v>156</v>
      </c>
      <c r="N303" s="54" t="s">
        <v>156</v>
      </c>
      <c r="O303" s="54" t="s">
        <v>156</v>
      </c>
    </row>
    <row r="304" spans="1:15" x14ac:dyDescent="0.35">
      <c r="A304" s="59" t="s">
        <v>182</v>
      </c>
      <c r="B304" s="60">
        <v>45347</v>
      </c>
      <c r="C304" s="54">
        <v>170.47021496342202</v>
      </c>
      <c r="D304" s="54">
        <v>170.47021496342202</v>
      </c>
      <c r="E304"/>
      <c r="F304"/>
      <c r="G304" t="e">
        <v>#N/A</v>
      </c>
      <c r="H304" s="54">
        <v>193</v>
      </c>
      <c r="I304" s="54">
        <v>112</v>
      </c>
      <c r="J304" s="54">
        <v>304</v>
      </c>
      <c r="K304" s="54">
        <v>303</v>
      </c>
      <c r="L304" s="54" t="e">
        <v>#N/A</v>
      </c>
      <c r="M304" s="54" t="s">
        <v>156</v>
      </c>
      <c r="N304" s="54" t="s">
        <v>156</v>
      </c>
      <c r="O304" s="54" t="s">
        <v>156</v>
      </c>
    </row>
    <row r="305" spans="1:15" x14ac:dyDescent="0.35">
      <c r="A305" s="59" t="s">
        <v>182</v>
      </c>
      <c r="B305" s="60">
        <v>45354</v>
      </c>
      <c r="C305" s="54">
        <v>172.45967731787312</v>
      </c>
      <c r="D305" s="54">
        <v>172.45967731787312</v>
      </c>
      <c r="E305"/>
      <c r="F305"/>
      <c r="G305" t="e">
        <v>#N/A</v>
      </c>
      <c r="H305" s="54">
        <v>193</v>
      </c>
      <c r="I305" s="54">
        <v>113</v>
      </c>
      <c r="J305" s="54">
        <v>305</v>
      </c>
      <c r="K305" s="54">
        <v>304</v>
      </c>
      <c r="L305" s="54" t="e">
        <v>#N/A</v>
      </c>
      <c r="M305" s="54" t="s">
        <v>156</v>
      </c>
      <c r="N305" s="54" t="s">
        <v>156</v>
      </c>
      <c r="O305" s="54" t="s">
        <v>156</v>
      </c>
    </row>
    <row r="306" spans="1:15" x14ac:dyDescent="0.35">
      <c r="A306" s="59" t="s">
        <v>182</v>
      </c>
      <c r="B306" s="60">
        <v>45361</v>
      </c>
      <c r="C306" s="54">
        <v>174.20912051306419</v>
      </c>
      <c r="D306" s="54">
        <v>174.20912051306419</v>
      </c>
      <c r="E306"/>
      <c r="F306"/>
      <c r="G306" t="e">
        <v>#N/A</v>
      </c>
      <c r="H306" s="54">
        <v>193</v>
      </c>
      <c r="I306" s="54">
        <v>114</v>
      </c>
      <c r="J306" s="54">
        <v>306</v>
      </c>
      <c r="K306" s="54">
        <v>305</v>
      </c>
      <c r="L306" s="54" t="e">
        <v>#N/A</v>
      </c>
      <c r="M306" s="54" t="s">
        <v>156</v>
      </c>
      <c r="N306" s="54" t="s">
        <v>156</v>
      </c>
      <c r="O306" s="54" t="s">
        <v>156</v>
      </c>
    </row>
    <row r="307" spans="1:15" x14ac:dyDescent="0.35">
      <c r="A307" s="59" t="s">
        <v>182</v>
      </c>
      <c r="B307" s="60">
        <v>45368</v>
      </c>
      <c r="C307" s="54">
        <v>175.70032485370828</v>
      </c>
      <c r="D307" s="54">
        <v>175.70032485370828</v>
      </c>
      <c r="E307"/>
      <c r="F307"/>
      <c r="G307" t="e">
        <v>#N/A</v>
      </c>
      <c r="H307" s="54">
        <v>193</v>
      </c>
      <c r="I307" s="54">
        <v>115</v>
      </c>
      <c r="J307" s="54">
        <v>307</v>
      </c>
      <c r="K307" s="54">
        <v>306</v>
      </c>
      <c r="L307" s="54" t="e">
        <v>#N/A</v>
      </c>
      <c r="M307" s="54" t="s">
        <v>156</v>
      </c>
      <c r="N307" s="54" t="s">
        <v>156</v>
      </c>
      <c r="O307" s="54" t="s">
        <v>156</v>
      </c>
    </row>
    <row r="308" spans="1:15" x14ac:dyDescent="0.35">
      <c r="A308" s="59" t="s">
        <v>182</v>
      </c>
      <c r="B308" s="60">
        <v>45375</v>
      </c>
      <c r="C308" s="54">
        <v>176.91883634852104</v>
      </c>
      <c r="D308" s="54">
        <v>176.91883634852104</v>
      </c>
      <c r="E308"/>
      <c r="F308"/>
      <c r="G308" t="e">
        <v>#N/A</v>
      </c>
      <c r="H308" s="54">
        <v>193</v>
      </c>
      <c r="I308" s="54">
        <v>116</v>
      </c>
      <c r="J308" s="54">
        <v>308</v>
      </c>
      <c r="K308" s="54">
        <v>307</v>
      </c>
      <c r="L308" s="54" t="e">
        <v>#N/A</v>
      </c>
      <c r="M308" s="54" t="s">
        <v>156</v>
      </c>
      <c r="N308" s="54" t="s">
        <v>156</v>
      </c>
      <c r="O308" s="54" t="s">
        <v>156</v>
      </c>
    </row>
    <row r="309" spans="1:15" x14ac:dyDescent="0.35">
      <c r="A309" s="59" t="s">
        <v>182</v>
      </c>
      <c r="B309" s="60">
        <v>45382</v>
      </c>
      <c r="C309" s="54">
        <v>177.85417748196107</v>
      </c>
      <c r="D309" s="54">
        <v>177.85417748196107</v>
      </c>
      <c r="E309"/>
      <c r="F309"/>
      <c r="G309" t="e">
        <v>#N/A</v>
      </c>
      <c r="H309" s="54">
        <v>193</v>
      </c>
      <c r="I309" s="54">
        <v>117</v>
      </c>
      <c r="J309" s="54">
        <v>309</v>
      </c>
      <c r="K309" s="54">
        <v>308</v>
      </c>
      <c r="L309" s="54" t="e">
        <v>#N/A</v>
      </c>
      <c r="M309" s="54" t="s">
        <v>156</v>
      </c>
      <c r="N309" s="54" t="s">
        <v>156</v>
      </c>
      <c r="O309" s="54" t="s">
        <v>156</v>
      </c>
    </row>
    <row r="310" spans="1:15" x14ac:dyDescent="0.35">
      <c r="A310" s="59" t="s">
        <v>182</v>
      </c>
      <c r="B310" s="60">
        <v>45389</v>
      </c>
      <c r="C310" s="54">
        <v>178.5</v>
      </c>
      <c r="D310" s="54">
        <v>178.5</v>
      </c>
      <c r="E310"/>
      <c r="F310"/>
      <c r="G310" t="e">
        <v>#N/A</v>
      </c>
      <c r="H310" s="54">
        <v>193</v>
      </c>
      <c r="I310" s="54">
        <v>118</v>
      </c>
      <c r="J310" s="54">
        <v>310</v>
      </c>
      <c r="K310" s="54">
        <v>309</v>
      </c>
      <c r="L310" s="54" t="e">
        <v>#N/A</v>
      </c>
      <c r="M310" s="54" t="s">
        <v>156</v>
      </c>
      <c r="N310" s="54" t="s">
        <v>156</v>
      </c>
      <c r="O310" s="54" t="s">
        <v>156</v>
      </c>
    </row>
    <row r="311" spans="1:15" x14ac:dyDescent="0.35">
      <c r="A311" s="59" t="s">
        <v>182</v>
      </c>
      <c r="B311" s="60">
        <v>45396</v>
      </c>
      <c r="C311" s="54">
        <v>178.85417748196107</v>
      </c>
      <c r="D311" s="54">
        <v>178.85417748196107</v>
      </c>
      <c r="E311"/>
      <c r="F311"/>
      <c r="G311" t="e">
        <v>#N/A</v>
      </c>
      <c r="H311" s="54">
        <v>193</v>
      </c>
      <c r="I311" s="54">
        <v>119</v>
      </c>
      <c r="J311" s="54">
        <v>311</v>
      </c>
      <c r="K311" s="54">
        <v>310</v>
      </c>
      <c r="L311" s="54" t="e">
        <v>#N/A</v>
      </c>
      <c r="M311" s="54" t="s">
        <v>156</v>
      </c>
      <c r="N311" s="54" t="s">
        <v>156</v>
      </c>
      <c r="O311" s="54" t="s">
        <v>156</v>
      </c>
    </row>
    <row r="312" spans="1:15" x14ac:dyDescent="0.35">
      <c r="A312" s="59" t="s">
        <v>182</v>
      </c>
      <c r="B312" s="60">
        <v>45403</v>
      </c>
      <c r="C312" s="54">
        <v>178.91883634852104</v>
      </c>
      <c r="D312" s="54">
        <v>178.91883634852104</v>
      </c>
      <c r="E312"/>
      <c r="F312"/>
      <c r="G312" t="e">
        <v>#N/A</v>
      </c>
      <c r="H312" s="54">
        <v>193</v>
      </c>
      <c r="I312" s="54">
        <v>120</v>
      </c>
      <c r="J312" s="54">
        <v>312</v>
      </c>
      <c r="K312" s="54">
        <v>311</v>
      </c>
      <c r="L312" s="54" t="e">
        <v>#N/A</v>
      </c>
      <c r="M312" s="54" t="s">
        <v>156</v>
      </c>
      <c r="N312" s="54" t="s">
        <v>156</v>
      </c>
      <c r="O312" s="54" t="s">
        <v>156</v>
      </c>
    </row>
    <row r="313" spans="1:15" x14ac:dyDescent="0.35">
      <c r="A313" s="59" t="s">
        <v>182</v>
      </c>
      <c r="B313" s="60">
        <v>45410</v>
      </c>
      <c r="C313" s="54">
        <v>178.70032485370831</v>
      </c>
      <c r="D313" s="54">
        <v>178.70032485370831</v>
      </c>
      <c r="E313"/>
      <c r="F313"/>
      <c r="G313" t="e">
        <v>#N/A</v>
      </c>
      <c r="H313" s="54">
        <v>193</v>
      </c>
      <c r="I313" s="54">
        <v>121</v>
      </c>
      <c r="J313" s="54">
        <v>313</v>
      </c>
      <c r="K313" s="54">
        <v>312</v>
      </c>
      <c r="L313" s="54" t="e">
        <v>#N/A</v>
      </c>
      <c r="M313" s="54" t="s">
        <v>156</v>
      </c>
      <c r="N313" s="54" t="s">
        <v>156</v>
      </c>
      <c r="O313" s="54" t="s">
        <v>156</v>
      </c>
    </row>
    <row r="314" spans="1:15" x14ac:dyDescent="0.35">
      <c r="A314" s="59" t="s">
        <v>182</v>
      </c>
      <c r="B314" s="60">
        <v>45417</v>
      </c>
      <c r="C314" s="54">
        <v>178.20912051306419</v>
      </c>
      <c r="D314" s="54">
        <v>178.20912051306419</v>
      </c>
      <c r="E314"/>
      <c r="F314"/>
      <c r="G314" t="e">
        <v>#N/A</v>
      </c>
      <c r="H314" s="54">
        <v>193</v>
      </c>
      <c r="I314" s="54">
        <v>122</v>
      </c>
      <c r="J314" s="54">
        <v>314</v>
      </c>
      <c r="K314" s="54">
        <v>313</v>
      </c>
      <c r="L314" s="54" t="e">
        <v>#N/A</v>
      </c>
      <c r="M314" s="54" t="s">
        <v>156</v>
      </c>
      <c r="N314" s="54" t="s">
        <v>156</v>
      </c>
      <c r="O314" s="54" t="s">
        <v>156</v>
      </c>
    </row>
    <row r="315" spans="1:15" x14ac:dyDescent="0.35">
      <c r="A315" s="59" t="s">
        <v>182</v>
      </c>
      <c r="B315" s="60">
        <v>45424</v>
      </c>
      <c r="C315" s="54">
        <v>177.45967731787312</v>
      </c>
      <c r="D315" s="54">
        <v>177.45967731787312</v>
      </c>
      <c r="E315"/>
      <c r="F315"/>
      <c r="G315" t="e">
        <v>#N/A</v>
      </c>
      <c r="H315" s="54">
        <v>193</v>
      </c>
      <c r="I315" s="54">
        <v>123</v>
      </c>
      <c r="J315" s="54">
        <v>315</v>
      </c>
      <c r="K315" s="54">
        <v>314</v>
      </c>
      <c r="L315" s="54" t="e">
        <v>#N/A</v>
      </c>
      <c r="M315" s="54" t="s">
        <v>156</v>
      </c>
      <c r="N315" s="54" t="s">
        <v>156</v>
      </c>
      <c r="O315" s="54" t="s">
        <v>156</v>
      </c>
    </row>
    <row r="316" spans="1:15" x14ac:dyDescent="0.35">
      <c r="A316" s="59" t="s">
        <v>182</v>
      </c>
      <c r="B316" s="60">
        <v>45431</v>
      </c>
      <c r="C316" s="54">
        <v>176.47021496342202</v>
      </c>
      <c r="D316" s="54">
        <v>176.47021496342202</v>
      </c>
      <c r="E316"/>
      <c r="F316"/>
      <c r="G316" t="e">
        <v>#N/A</v>
      </c>
      <c r="H316" s="54">
        <v>193</v>
      </c>
      <c r="I316" s="54">
        <v>124</v>
      </c>
      <c r="J316" s="54">
        <v>316</v>
      </c>
      <c r="K316" s="54">
        <v>315</v>
      </c>
      <c r="L316" s="54" t="e">
        <v>#N/A</v>
      </c>
      <c r="M316" s="54" t="s">
        <v>156</v>
      </c>
      <c r="N316" s="54" t="s">
        <v>156</v>
      </c>
      <c r="O316" s="54" t="s">
        <v>156</v>
      </c>
    </row>
    <row r="317" spans="1:15" x14ac:dyDescent="0.35">
      <c r="A317" s="59" t="s">
        <v>182</v>
      </c>
      <c r="B317" s="60">
        <v>45438</v>
      </c>
      <c r="C317" s="54">
        <v>175.26245316481592</v>
      </c>
      <c r="D317" s="54">
        <v>175.26245316481592</v>
      </c>
      <c r="E317"/>
      <c r="F317"/>
      <c r="G317" t="e">
        <v>#N/A</v>
      </c>
      <c r="H317" s="54">
        <v>193</v>
      </c>
      <c r="I317" s="54">
        <v>125</v>
      </c>
      <c r="J317" s="54">
        <v>317</v>
      </c>
      <c r="K317" s="54">
        <v>316</v>
      </c>
      <c r="L317" s="54" t="e">
        <v>#N/A</v>
      </c>
      <c r="M317" s="54" t="s">
        <v>156</v>
      </c>
      <c r="N317" s="54" t="s">
        <v>156</v>
      </c>
      <c r="O317" s="54" t="s">
        <v>156</v>
      </c>
    </row>
    <row r="318" spans="1:15" x14ac:dyDescent="0.35">
      <c r="A318" s="59" t="s">
        <v>182</v>
      </c>
      <c r="B318" s="60">
        <v>45445</v>
      </c>
      <c r="C318" s="54">
        <v>173.86129493462315</v>
      </c>
      <c r="D318" s="54">
        <v>173.86129493462315</v>
      </c>
      <c r="E318"/>
      <c r="F318"/>
      <c r="G318" t="e">
        <v>#N/A</v>
      </c>
      <c r="H318" s="54">
        <v>193</v>
      </c>
      <c r="I318" s="54">
        <v>126</v>
      </c>
      <c r="J318" s="54">
        <v>318</v>
      </c>
      <c r="K318" s="54">
        <v>317</v>
      </c>
      <c r="L318" s="54" t="e">
        <v>#N/A</v>
      </c>
      <c r="M318" s="54" t="s">
        <v>156</v>
      </c>
      <c r="N318" s="54" t="s">
        <v>156</v>
      </c>
      <c r="O318" s="54" t="s">
        <v>156</v>
      </c>
    </row>
    <row r="319" spans="1:15" x14ac:dyDescent="0.35">
      <c r="A319" s="59" t="s">
        <v>182</v>
      </c>
      <c r="B319" s="60">
        <v>45452</v>
      </c>
      <c r="C319" s="54">
        <v>172.29446344087538</v>
      </c>
      <c r="D319" s="54">
        <v>172.29446344087538</v>
      </c>
      <c r="E319"/>
      <c r="F319"/>
      <c r="G319" t="e">
        <v>#N/A</v>
      </c>
      <c r="H319" s="54">
        <v>193</v>
      </c>
      <c r="I319" s="54">
        <v>127</v>
      </c>
      <c r="J319" s="54">
        <v>319</v>
      </c>
      <c r="K319" s="54">
        <v>318</v>
      </c>
      <c r="L319" s="54" t="e">
        <v>#N/A</v>
      </c>
      <c r="M319" s="54" t="s">
        <v>156</v>
      </c>
      <c r="N319" s="54" t="s">
        <v>156</v>
      </c>
      <c r="O319" s="54" t="s">
        <v>156</v>
      </c>
    </row>
    <row r="320" spans="1:15" x14ac:dyDescent="0.35">
      <c r="A320" s="59" t="s">
        <v>182</v>
      </c>
      <c r="B320" s="60">
        <v>45459</v>
      </c>
      <c r="C320" s="54">
        <v>170.59209774085073</v>
      </c>
      <c r="D320" s="54">
        <v>170.59209774085073</v>
      </c>
      <c r="E320"/>
      <c r="F320"/>
      <c r="G320" t="e">
        <v>#N/A</v>
      </c>
      <c r="H320" s="54">
        <v>193</v>
      </c>
      <c r="I320" s="54">
        <v>128</v>
      </c>
      <c r="J320" s="54">
        <v>320</v>
      </c>
      <c r="K320" s="54">
        <v>319</v>
      </c>
      <c r="L320" s="54" t="e">
        <v>#N/A</v>
      </c>
      <c r="M320" s="54" t="s">
        <v>156</v>
      </c>
      <c r="N320" s="54" t="s">
        <v>156</v>
      </c>
      <c r="O320" s="54" t="s">
        <v>156</v>
      </c>
    </row>
    <row r="321" spans="1:15" x14ac:dyDescent="0.35">
      <c r="A321" s="59" t="s">
        <v>182</v>
      </c>
      <c r="B321" s="60">
        <v>45466</v>
      </c>
      <c r="C321" s="54">
        <v>168.78631328575119</v>
      </c>
      <c r="D321" s="54">
        <v>168.78631328575119</v>
      </c>
      <c r="E321"/>
      <c r="F321"/>
      <c r="G321" t="e">
        <v>#N/A</v>
      </c>
      <c r="H321" s="54">
        <v>193</v>
      </c>
      <c r="I321" s="54">
        <v>129</v>
      </c>
      <c r="J321" s="54">
        <v>321</v>
      </c>
      <c r="K321" s="54">
        <v>320</v>
      </c>
      <c r="L321" s="54" t="e">
        <v>#N/A</v>
      </c>
      <c r="M321" s="54" t="s">
        <v>156</v>
      </c>
      <c r="N321" s="54" t="s">
        <v>156</v>
      </c>
      <c r="O321" s="54" t="s">
        <v>156</v>
      </c>
    </row>
    <row r="322" spans="1:15" x14ac:dyDescent="0.35">
      <c r="A322" s="59" t="s">
        <v>182</v>
      </c>
      <c r="B322" s="60">
        <v>45473</v>
      </c>
      <c r="C322" s="54">
        <v>166.91073360510649</v>
      </c>
      <c r="D322" s="54">
        <v>166.91073360510649</v>
      </c>
      <c r="E322"/>
      <c r="F322"/>
      <c r="G322" t="e">
        <v>#N/A</v>
      </c>
      <c r="H322" s="54">
        <v>193</v>
      </c>
      <c r="I322" s="54">
        <v>130</v>
      </c>
      <c r="J322" s="54">
        <v>322</v>
      </c>
      <c r="K322" s="54">
        <v>321</v>
      </c>
      <c r="L322" s="54" t="e">
        <v>#N/A</v>
      </c>
      <c r="M322" s="54" t="s">
        <v>156</v>
      </c>
      <c r="N322" s="54" t="s">
        <v>156</v>
      </c>
      <c r="O322" s="54" t="s">
        <v>156</v>
      </c>
    </row>
    <row r="323" spans="1:15" x14ac:dyDescent="0.35">
      <c r="A323" s="59" t="s">
        <v>182</v>
      </c>
      <c r="B323" s="60">
        <v>45480</v>
      </c>
      <c r="C323" s="54">
        <v>165</v>
      </c>
      <c r="D323" s="54">
        <v>165</v>
      </c>
      <c r="E323"/>
      <c r="F323"/>
      <c r="G323" t="e">
        <v>#N/A</v>
      </c>
      <c r="H323" s="54">
        <v>193</v>
      </c>
      <c r="I323" s="54">
        <v>131</v>
      </c>
      <c r="J323" s="54">
        <v>323</v>
      </c>
      <c r="K323" s="54">
        <v>322</v>
      </c>
      <c r="L323" s="54" t="e">
        <v>#N/A</v>
      </c>
      <c r="M323" s="54" t="s">
        <v>156</v>
      </c>
      <c r="N323" s="54" t="s">
        <v>156</v>
      </c>
      <c r="O323" s="54" t="s">
        <v>156</v>
      </c>
    </row>
    <row r="324" spans="1:15" x14ac:dyDescent="0.35">
      <c r="A324" s="59" t="s">
        <v>182</v>
      </c>
      <c r="B324" s="60">
        <v>45487</v>
      </c>
      <c r="C324" s="54">
        <v>163.08926639489351</v>
      </c>
      <c r="D324" s="54">
        <v>163.08926639489351</v>
      </c>
      <c r="E324"/>
      <c r="F324"/>
      <c r="G324" t="e">
        <v>#N/A</v>
      </c>
      <c r="H324" s="54">
        <v>193</v>
      </c>
      <c r="I324" s="54">
        <v>132</v>
      </c>
      <c r="J324" s="54">
        <v>324</v>
      </c>
      <c r="K324" s="54">
        <v>323</v>
      </c>
      <c r="L324" s="54" t="e">
        <v>#N/A</v>
      </c>
      <c r="M324" s="54" t="s">
        <v>156</v>
      </c>
      <c r="N324" s="54" t="s">
        <v>156</v>
      </c>
      <c r="O324" s="54" t="s">
        <v>156</v>
      </c>
    </row>
    <row r="325" spans="1:15" x14ac:dyDescent="0.35">
      <c r="A325" s="59" t="s">
        <v>182</v>
      </c>
      <c r="B325" s="60">
        <v>45494</v>
      </c>
      <c r="C325" s="54">
        <v>161.21368671424884</v>
      </c>
      <c r="D325" s="54">
        <v>161.21368671424884</v>
      </c>
      <c r="E325"/>
      <c r="F325"/>
      <c r="G325" t="e">
        <v>#N/A</v>
      </c>
      <c r="H325" s="54">
        <v>193</v>
      </c>
      <c r="I325" s="54">
        <v>133</v>
      </c>
      <c r="J325" s="54">
        <v>325</v>
      </c>
      <c r="K325" s="54">
        <v>324</v>
      </c>
      <c r="L325" s="54" t="e">
        <v>#N/A</v>
      </c>
      <c r="M325" s="54" t="s">
        <v>156</v>
      </c>
      <c r="N325" s="54" t="s">
        <v>156</v>
      </c>
      <c r="O325" s="54" t="s">
        <v>156</v>
      </c>
    </row>
    <row r="326" spans="1:15" x14ac:dyDescent="0.35">
      <c r="A326" s="59" t="s">
        <v>182</v>
      </c>
      <c r="B326" s="60">
        <v>45501</v>
      </c>
      <c r="C326" s="54">
        <v>159.4079022591493</v>
      </c>
      <c r="D326" s="54">
        <v>159.4079022591493</v>
      </c>
      <c r="E326"/>
      <c r="F326"/>
      <c r="G326" t="e">
        <v>#N/A</v>
      </c>
      <c r="H326" s="54">
        <v>193</v>
      </c>
      <c r="I326" s="54">
        <v>134</v>
      </c>
      <c r="J326" s="54">
        <v>326</v>
      </c>
      <c r="K326" s="54">
        <v>325</v>
      </c>
      <c r="L326" s="54" t="e">
        <v>#N/A</v>
      </c>
      <c r="M326" s="54" t="s">
        <v>156</v>
      </c>
      <c r="N326" s="54" t="s">
        <v>156</v>
      </c>
      <c r="O326" s="54" t="s">
        <v>156</v>
      </c>
    </row>
    <row r="327" spans="1:15" x14ac:dyDescent="0.35">
      <c r="A327" s="59" t="s">
        <v>182</v>
      </c>
      <c r="B327" s="60">
        <v>45508</v>
      </c>
      <c r="C327" s="54">
        <v>157.70553655912462</v>
      </c>
      <c r="D327" s="54">
        <v>157.70553655912462</v>
      </c>
      <c r="E327"/>
      <c r="F327"/>
      <c r="G327" t="e">
        <v>#N/A</v>
      </c>
      <c r="H327" s="54">
        <v>193</v>
      </c>
      <c r="I327" s="54">
        <v>135</v>
      </c>
      <c r="J327" s="54">
        <v>327</v>
      </c>
      <c r="K327" s="54">
        <v>326</v>
      </c>
      <c r="L327" s="54" t="e">
        <v>#N/A</v>
      </c>
      <c r="M327" s="54" t="s">
        <v>156</v>
      </c>
      <c r="N327" s="54" t="s">
        <v>156</v>
      </c>
      <c r="O327" s="54" t="s">
        <v>156</v>
      </c>
    </row>
    <row r="328" spans="1:15" x14ac:dyDescent="0.35">
      <c r="A328" s="59" t="s">
        <v>182</v>
      </c>
      <c r="B328" s="60">
        <v>45515</v>
      </c>
      <c r="C328" s="54">
        <v>156.13870506537691</v>
      </c>
      <c r="D328" s="54">
        <v>156.13870506537691</v>
      </c>
      <c r="E328"/>
      <c r="F328"/>
      <c r="G328" t="e">
        <v>#N/A</v>
      </c>
      <c r="H328" s="54">
        <v>193</v>
      </c>
      <c r="I328" s="54">
        <v>136</v>
      </c>
      <c r="J328" s="54">
        <v>328</v>
      </c>
      <c r="K328" s="54">
        <v>327</v>
      </c>
      <c r="L328" s="54" t="e">
        <v>#N/A</v>
      </c>
      <c r="M328" s="54" t="s">
        <v>156</v>
      </c>
      <c r="N328" s="54" t="s">
        <v>156</v>
      </c>
      <c r="O328" s="54" t="s">
        <v>156</v>
      </c>
    </row>
    <row r="329" spans="1:15" x14ac:dyDescent="0.35">
      <c r="A329" s="59" t="s">
        <v>182</v>
      </c>
      <c r="B329" s="60">
        <v>45522</v>
      </c>
      <c r="C329" s="54">
        <v>154.73754683518411</v>
      </c>
      <c r="D329" s="54">
        <v>154.73754683518411</v>
      </c>
      <c r="E329"/>
      <c r="F329"/>
      <c r="G329" t="e">
        <v>#N/A</v>
      </c>
      <c r="H329" s="54">
        <v>193</v>
      </c>
      <c r="I329" s="54">
        <v>137</v>
      </c>
      <c r="J329" s="54">
        <v>329</v>
      </c>
      <c r="K329" s="54">
        <v>328</v>
      </c>
      <c r="L329" s="54" t="e">
        <v>#N/A</v>
      </c>
      <c r="M329" s="54" t="s">
        <v>156</v>
      </c>
      <c r="N329" s="54" t="s">
        <v>156</v>
      </c>
      <c r="O329" s="54" t="s">
        <v>156</v>
      </c>
    </row>
    <row r="330" spans="1:15" x14ac:dyDescent="0.35">
      <c r="A330" s="59" t="s">
        <v>182</v>
      </c>
      <c r="B330" s="60">
        <v>45529</v>
      </c>
      <c r="C330" s="54">
        <v>153.52978503657798</v>
      </c>
      <c r="D330" s="54">
        <v>153.52978503657798</v>
      </c>
      <c r="E330"/>
      <c r="F330"/>
      <c r="G330" t="e">
        <v>#N/A</v>
      </c>
      <c r="H330" s="54">
        <v>193</v>
      </c>
      <c r="I330" s="54">
        <v>138</v>
      </c>
      <c r="J330" s="54">
        <v>330</v>
      </c>
      <c r="K330" s="54">
        <v>329</v>
      </c>
      <c r="L330" s="54" t="e">
        <v>#N/A</v>
      </c>
      <c r="M330" s="54" t="s">
        <v>156</v>
      </c>
      <c r="N330" s="54" t="s">
        <v>156</v>
      </c>
      <c r="O330" s="54" t="s">
        <v>156</v>
      </c>
    </row>
    <row r="331" spans="1:15" x14ac:dyDescent="0.35">
      <c r="A331" s="59" t="s">
        <v>182</v>
      </c>
      <c r="B331" s="60">
        <v>45536</v>
      </c>
      <c r="C331" s="54">
        <v>152.54032268212688</v>
      </c>
      <c r="D331" s="54">
        <v>152.54032268212688</v>
      </c>
      <c r="E331"/>
      <c r="F331"/>
      <c r="G331" t="e">
        <v>#N/A</v>
      </c>
      <c r="H331" s="54">
        <v>193</v>
      </c>
      <c r="I331" s="54">
        <v>139</v>
      </c>
      <c r="J331" s="54">
        <v>331</v>
      </c>
      <c r="K331" s="54">
        <v>330</v>
      </c>
      <c r="L331" s="54" t="e">
        <v>#N/A</v>
      </c>
      <c r="M331" s="54" t="s">
        <v>156</v>
      </c>
      <c r="N331" s="54" t="s">
        <v>156</v>
      </c>
      <c r="O331" s="54" t="s">
        <v>156</v>
      </c>
    </row>
    <row r="332" spans="1:15" x14ac:dyDescent="0.35">
      <c r="A332" s="59" t="s">
        <v>182</v>
      </c>
      <c r="B332" s="60">
        <v>45543</v>
      </c>
      <c r="C332" s="54">
        <v>151.79087948693581</v>
      </c>
      <c r="D332" s="54">
        <v>151.79087948693581</v>
      </c>
      <c r="E332"/>
      <c r="F332"/>
      <c r="G332" t="e">
        <v>#N/A</v>
      </c>
      <c r="H332" s="54">
        <v>193</v>
      </c>
      <c r="I332" s="54">
        <v>140</v>
      </c>
      <c r="J332" s="54">
        <v>332</v>
      </c>
      <c r="K332" s="54">
        <v>331</v>
      </c>
      <c r="L332" s="54" t="e">
        <v>#N/A</v>
      </c>
      <c r="M332" s="54" t="s">
        <v>156</v>
      </c>
      <c r="N332" s="54" t="s">
        <v>156</v>
      </c>
      <c r="O332" s="54" t="s">
        <v>156</v>
      </c>
    </row>
    <row r="333" spans="1:15" x14ac:dyDescent="0.35">
      <c r="A333" s="59" t="s">
        <v>182</v>
      </c>
      <c r="B333" s="60">
        <v>45550</v>
      </c>
      <c r="C333" s="54">
        <v>151.29967514629172</v>
      </c>
      <c r="D333" s="54">
        <v>151.29967514629172</v>
      </c>
      <c r="E333"/>
      <c r="F333"/>
      <c r="G333" t="e">
        <v>#N/A</v>
      </c>
      <c r="H333" s="54">
        <v>193</v>
      </c>
      <c r="I333" s="54">
        <v>141</v>
      </c>
      <c r="J333" s="54">
        <v>333</v>
      </c>
      <c r="K333" s="54">
        <v>332</v>
      </c>
      <c r="L333" s="54" t="e">
        <v>#N/A</v>
      </c>
      <c r="M333" s="54" t="s">
        <v>156</v>
      </c>
      <c r="N333" s="54" t="s">
        <v>156</v>
      </c>
      <c r="O333" s="54" t="s">
        <v>156</v>
      </c>
    </row>
    <row r="334" spans="1:15" x14ac:dyDescent="0.35">
      <c r="A334" s="59" t="s">
        <v>182</v>
      </c>
      <c r="B334" s="60">
        <v>45557</v>
      </c>
      <c r="C334" s="54">
        <v>151.08116365147896</v>
      </c>
      <c r="D334" s="54">
        <v>151.08116365147896</v>
      </c>
      <c r="E334"/>
      <c r="F334"/>
      <c r="G334" t="e">
        <v>#N/A</v>
      </c>
      <c r="H334" s="54">
        <v>193</v>
      </c>
      <c r="I334" s="54">
        <v>142</v>
      </c>
      <c r="J334" s="54">
        <v>334</v>
      </c>
      <c r="K334" s="54">
        <v>333</v>
      </c>
      <c r="L334" s="54" t="e">
        <v>#N/A</v>
      </c>
      <c r="M334" s="54" t="s">
        <v>156</v>
      </c>
      <c r="N334" s="54" t="s">
        <v>156</v>
      </c>
      <c r="O334" s="54" t="s">
        <v>156</v>
      </c>
    </row>
    <row r="335" spans="1:15" x14ac:dyDescent="0.35">
      <c r="A335" s="59" t="s">
        <v>182</v>
      </c>
      <c r="B335" s="60">
        <v>45564</v>
      </c>
      <c r="C335" s="54">
        <v>151.14582251803893</v>
      </c>
      <c r="D335" s="54">
        <v>151.14582251803893</v>
      </c>
      <c r="E335"/>
      <c r="F335"/>
      <c r="G335" t="e">
        <v>#N/A</v>
      </c>
      <c r="H335" s="54">
        <v>193</v>
      </c>
      <c r="I335" s="54">
        <v>143</v>
      </c>
      <c r="J335" s="54">
        <v>335</v>
      </c>
      <c r="K335" s="54">
        <v>334</v>
      </c>
      <c r="L335" s="54" t="e">
        <v>#N/A</v>
      </c>
      <c r="M335" s="54" t="s">
        <v>156</v>
      </c>
      <c r="N335" s="54" t="s">
        <v>156</v>
      </c>
      <c r="O335" s="54" t="s">
        <v>156</v>
      </c>
    </row>
    <row r="336" spans="1:15" x14ac:dyDescent="0.35">
      <c r="A336" s="59" t="s">
        <v>182</v>
      </c>
      <c r="B336" s="60">
        <v>45571</v>
      </c>
      <c r="C336" s="54">
        <v>151.5</v>
      </c>
      <c r="D336" s="54">
        <v>151.5</v>
      </c>
      <c r="E336"/>
      <c r="F336"/>
      <c r="G336" t="e">
        <v>#N/A</v>
      </c>
      <c r="H336" s="54">
        <v>193</v>
      </c>
      <c r="I336" s="54">
        <v>144</v>
      </c>
      <c r="J336" s="54">
        <v>336</v>
      </c>
      <c r="K336" s="54">
        <v>335</v>
      </c>
      <c r="L336" s="54" t="e">
        <v>#N/A</v>
      </c>
      <c r="M336" s="54" t="s">
        <v>156</v>
      </c>
      <c r="N336" s="54" t="s">
        <v>156</v>
      </c>
      <c r="O336" s="54" t="s">
        <v>156</v>
      </c>
    </row>
    <row r="337" spans="1:15" x14ac:dyDescent="0.35">
      <c r="A337" s="59" t="s">
        <v>182</v>
      </c>
      <c r="B337" s="60">
        <v>45578</v>
      </c>
      <c r="C337" s="54">
        <v>152.14582251803893</v>
      </c>
      <c r="D337" s="54">
        <v>152.14582251803893</v>
      </c>
      <c r="E337"/>
      <c r="F337"/>
      <c r="G337" t="e">
        <v>#N/A</v>
      </c>
      <c r="H337" s="54">
        <v>193</v>
      </c>
      <c r="I337" s="54">
        <v>145</v>
      </c>
      <c r="J337" s="54">
        <v>337</v>
      </c>
      <c r="K337" s="54">
        <v>336</v>
      </c>
      <c r="L337" s="54" t="e">
        <v>#N/A</v>
      </c>
      <c r="M337" s="54" t="s">
        <v>156</v>
      </c>
      <c r="N337" s="54" t="s">
        <v>156</v>
      </c>
      <c r="O337" s="54" t="s">
        <v>156</v>
      </c>
    </row>
    <row r="338" spans="1:15" x14ac:dyDescent="0.35">
      <c r="A338" s="59" t="s">
        <v>182</v>
      </c>
      <c r="B338" s="60">
        <v>45585</v>
      </c>
      <c r="C338" s="54">
        <v>153.08116365147896</v>
      </c>
      <c r="D338" s="54">
        <v>153.08116365147896</v>
      </c>
      <c r="E338"/>
      <c r="F338"/>
      <c r="G338" t="e">
        <v>#N/A</v>
      </c>
      <c r="H338" s="54">
        <v>193</v>
      </c>
      <c r="I338" s="54">
        <v>146</v>
      </c>
      <c r="J338" s="54">
        <v>338</v>
      </c>
      <c r="K338" s="54">
        <v>337</v>
      </c>
      <c r="L338" s="54" t="e">
        <v>#N/A</v>
      </c>
      <c r="M338" s="54" t="s">
        <v>156</v>
      </c>
      <c r="N338" s="54" t="s">
        <v>156</v>
      </c>
      <c r="O338" s="54" t="s">
        <v>156</v>
      </c>
    </row>
    <row r="339" spans="1:15" x14ac:dyDescent="0.35">
      <c r="A339" s="59" t="s">
        <v>182</v>
      </c>
      <c r="B339" s="60">
        <v>45592</v>
      </c>
      <c r="C339" s="54">
        <v>154.29967514629169</v>
      </c>
      <c r="D339" s="54">
        <v>154.29967514629169</v>
      </c>
      <c r="E339"/>
      <c r="F339"/>
      <c r="G339" t="e">
        <v>#N/A</v>
      </c>
      <c r="H339" s="54">
        <v>193</v>
      </c>
      <c r="I339" s="54">
        <v>147</v>
      </c>
      <c r="J339" s="54">
        <v>339</v>
      </c>
      <c r="K339" s="54">
        <v>338</v>
      </c>
      <c r="L339" s="54" t="e">
        <v>#N/A</v>
      </c>
      <c r="M339" s="54" t="s">
        <v>156</v>
      </c>
      <c r="N339" s="54" t="s">
        <v>156</v>
      </c>
      <c r="O339" s="54" t="s">
        <v>156</v>
      </c>
    </row>
    <row r="340" spans="1:15" x14ac:dyDescent="0.35">
      <c r="A340" s="59" t="s">
        <v>182</v>
      </c>
      <c r="B340" s="60">
        <v>45599</v>
      </c>
      <c r="C340" s="54">
        <v>155.79087948693581</v>
      </c>
      <c r="D340" s="54">
        <v>155.79087948693581</v>
      </c>
      <c r="E340"/>
      <c r="F340"/>
      <c r="G340" t="e">
        <v>#N/A</v>
      </c>
      <c r="H340" s="54">
        <v>193</v>
      </c>
      <c r="I340" s="54">
        <v>148</v>
      </c>
      <c r="J340" s="54">
        <v>340</v>
      </c>
      <c r="K340" s="54">
        <v>339</v>
      </c>
      <c r="L340" s="54" t="e">
        <v>#N/A</v>
      </c>
      <c r="M340" s="54" t="s">
        <v>156</v>
      </c>
      <c r="N340" s="54" t="s">
        <v>156</v>
      </c>
      <c r="O340" s="54" t="s">
        <v>156</v>
      </c>
    </row>
    <row r="341" spans="1:15" x14ac:dyDescent="0.35">
      <c r="A341" s="59" t="s">
        <v>182</v>
      </c>
      <c r="B341" s="60">
        <v>45606</v>
      </c>
      <c r="C341" s="54">
        <v>157.54032268212688</v>
      </c>
      <c r="D341" s="54">
        <v>157.54032268212688</v>
      </c>
      <c r="E341"/>
      <c r="F341"/>
      <c r="G341" t="e">
        <v>#N/A</v>
      </c>
      <c r="H341" s="54">
        <v>193</v>
      </c>
      <c r="I341" s="54">
        <v>149</v>
      </c>
      <c r="J341" s="54">
        <v>341</v>
      </c>
      <c r="K341" s="54">
        <v>340</v>
      </c>
      <c r="L341" s="54" t="e">
        <v>#N/A</v>
      </c>
      <c r="M341" s="54" t="s">
        <v>156</v>
      </c>
      <c r="N341" s="54" t="s">
        <v>156</v>
      </c>
      <c r="O341" s="54" t="s">
        <v>156</v>
      </c>
    </row>
    <row r="342" spans="1:15" x14ac:dyDescent="0.35">
      <c r="A342" s="59" t="s">
        <v>182</v>
      </c>
      <c r="B342" s="60">
        <v>45613</v>
      </c>
      <c r="C342" s="54">
        <v>159.52978503657795</v>
      </c>
      <c r="D342" s="54">
        <v>159.52978503657795</v>
      </c>
      <c r="E342"/>
      <c r="F342"/>
      <c r="G342" t="e">
        <v>#N/A</v>
      </c>
      <c r="H342" s="54">
        <v>193</v>
      </c>
      <c r="I342" s="54">
        <v>150</v>
      </c>
      <c r="J342" s="54">
        <v>342</v>
      </c>
      <c r="K342" s="54">
        <v>341</v>
      </c>
      <c r="L342" s="54" t="e">
        <v>#N/A</v>
      </c>
      <c r="M342" s="54" t="s">
        <v>156</v>
      </c>
      <c r="N342" s="54" t="s">
        <v>156</v>
      </c>
      <c r="O342" s="54" t="s">
        <v>156</v>
      </c>
    </row>
    <row r="343" spans="1:15" x14ac:dyDescent="0.35">
      <c r="A343" s="59" t="s">
        <v>182</v>
      </c>
      <c r="B343" s="60">
        <v>45620</v>
      </c>
      <c r="C343" s="54">
        <v>161.73754683518408</v>
      </c>
      <c r="D343" s="54">
        <v>161.73754683518408</v>
      </c>
      <c r="E343"/>
      <c r="F343"/>
      <c r="G343" t="e">
        <v>#N/A</v>
      </c>
      <c r="H343" s="54">
        <v>193</v>
      </c>
      <c r="I343" s="54">
        <v>151</v>
      </c>
      <c r="J343" s="54">
        <v>343</v>
      </c>
      <c r="K343" s="54">
        <v>342</v>
      </c>
      <c r="L343" s="54" t="e">
        <v>#N/A</v>
      </c>
      <c r="M343" s="54" t="s">
        <v>156</v>
      </c>
      <c r="N343" s="54" t="s">
        <v>156</v>
      </c>
      <c r="O343" s="54" t="s">
        <v>156</v>
      </c>
    </row>
    <row r="344" spans="1:15" x14ac:dyDescent="0.35">
      <c r="A344" s="59" t="s">
        <v>182</v>
      </c>
      <c r="B344" s="60">
        <v>45627</v>
      </c>
      <c r="C344" s="54">
        <v>164.13870506537688</v>
      </c>
      <c r="D344" s="54">
        <v>164.13870506537688</v>
      </c>
      <c r="E344"/>
      <c r="F344"/>
      <c r="G344" t="e">
        <v>#N/A</v>
      </c>
      <c r="H344" s="54">
        <v>193</v>
      </c>
      <c r="I344" s="54">
        <v>152</v>
      </c>
      <c r="J344" s="54">
        <v>344</v>
      </c>
      <c r="K344" s="54">
        <v>343</v>
      </c>
      <c r="L344" s="54" t="e">
        <v>#N/A</v>
      </c>
      <c r="M344" s="54" t="s">
        <v>156</v>
      </c>
      <c r="N344" s="54" t="s">
        <v>156</v>
      </c>
      <c r="O344" s="54" t="s">
        <v>156</v>
      </c>
    </row>
    <row r="345" spans="1:15" x14ac:dyDescent="0.35">
      <c r="A345" s="59" t="s">
        <v>182</v>
      </c>
      <c r="B345" s="60">
        <v>45634</v>
      </c>
      <c r="C345" s="54">
        <v>166.7055365591246</v>
      </c>
      <c r="D345" s="54">
        <v>166.7055365591246</v>
      </c>
      <c r="E345"/>
      <c r="F345"/>
      <c r="G345" t="e">
        <v>#N/A</v>
      </c>
      <c r="H345" s="54">
        <v>193</v>
      </c>
      <c r="I345" s="54">
        <v>153</v>
      </c>
      <c r="J345" s="54">
        <v>345</v>
      </c>
      <c r="K345" s="54">
        <v>344</v>
      </c>
      <c r="L345" s="54" t="e">
        <v>#N/A</v>
      </c>
      <c r="M345" s="54" t="s">
        <v>156</v>
      </c>
      <c r="N345" s="54" t="s">
        <v>156</v>
      </c>
      <c r="O345" s="54" t="s">
        <v>156</v>
      </c>
    </row>
    <row r="346" spans="1:15" x14ac:dyDescent="0.35">
      <c r="A346" s="59" t="s">
        <v>182</v>
      </c>
      <c r="B346" s="60">
        <v>45641</v>
      </c>
      <c r="C346" s="54">
        <v>169.40790225914927</v>
      </c>
      <c r="D346" s="54">
        <v>169.40790225914927</v>
      </c>
      <c r="E346"/>
      <c r="F346"/>
      <c r="G346" t="e">
        <v>#N/A</v>
      </c>
      <c r="H346" s="54">
        <v>193</v>
      </c>
      <c r="I346" s="54">
        <v>154</v>
      </c>
      <c r="J346" s="54">
        <v>346</v>
      </c>
      <c r="K346" s="54">
        <v>345</v>
      </c>
      <c r="L346" s="54" t="e">
        <v>#N/A</v>
      </c>
      <c r="M346" s="54" t="s">
        <v>156</v>
      </c>
      <c r="N346" s="54" t="s">
        <v>156</v>
      </c>
      <c r="O346" s="54" t="s">
        <v>156</v>
      </c>
    </row>
    <row r="347" spans="1:15" x14ac:dyDescent="0.35">
      <c r="A347" s="59" t="s">
        <v>182</v>
      </c>
      <c r="B347" s="60">
        <v>45648</v>
      </c>
      <c r="C347" s="54">
        <v>172.21368671424887</v>
      </c>
      <c r="D347" s="54">
        <v>172.21368671424887</v>
      </c>
      <c r="E347"/>
      <c r="F347"/>
      <c r="G347" t="e">
        <v>#N/A</v>
      </c>
      <c r="H347" s="54">
        <v>193</v>
      </c>
      <c r="I347" s="54">
        <v>155</v>
      </c>
      <c r="J347" s="54">
        <v>347</v>
      </c>
      <c r="K347" s="54">
        <v>346</v>
      </c>
      <c r="L347" s="54" t="e">
        <v>#N/A</v>
      </c>
      <c r="M347" s="54" t="s">
        <v>156</v>
      </c>
      <c r="N347" s="54" t="s">
        <v>156</v>
      </c>
      <c r="O347" s="54" t="s">
        <v>156</v>
      </c>
    </row>
    <row r="348" spans="1:15" x14ac:dyDescent="0.35">
      <c r="A348" s="59" t="s">
        <v>182</v>
      </c>
      <c r="B348" s="60">
        <v>45655</v>
      </c>
      <c r="C348" s="54">
        <v>175.08926639489351</v>
      </c>
      <c r="D348" s="54">
        <v>175.08926639489351</v>
      </c>
      <c r="E348"/>
      <c r="F348"/>
      <c r="G348" t="e">
        <v>#N/A</v>
      </c>
      <c r="H348" s="54">
        <v>193</v>
      </c>
      <c r="I348" s="54">
        <v>156</v>
      </c>
      <c r="J348" s="54">
        <v>348</v>
      </c>
      <c r="K348" s="54">
        <v>347</v>
      </c>
      <c r="L348" s="54" t="e">
        <v>#N/A</v>
      </c>
      <c r="M348" s="54" t="s">
        <v>156</v>
      </c>
      <c r="N348" s="54" t="s">
        <v>156</v>
      </c>
      <c r="O348" s="54" t="s">
        <v>156</v>
      </c>
    </row>
    <row r="349" spans="1:15" x14ac:dyDescent="0.35">
      <c r="A349" s="59" t="s">
        <v>182</v>
      </c>
      <c r="B349" s="60">
        <v>45662</v>
      </c>
      <c r="C349" s="54">
        <v>177.99999999999997</v>
      </c>
      <c r="D349" s="54"/>
      <c r="E349">
        <v>177.99999999999997</v>
      </c>
      <c r="F349">
        <v>178.00180068982681</v>
      </c>
      <c r="G349">
        <v>163.02789337406588</v>
      </c>
      <c r="H349" s="54">
        <v>193</v>
      </c>
      <c r="I349" s="54" t="s">
        <v>156</v>
      </c>
      <c r="J349" s="54">
        <v>348</v>
      </c>
      <c r="K349" s="54">
        <v>348</v>
      </c>
      <c r="L349" s="54">
        <v>178.00000000000003</v>
      </c>
      <c r="M349" s="54">
        <v>5.6843418860808015E-14</v>
      </c>
      <c r="N349" s="54">
        <v>1.8006898268367877E-3</v>
      </c>
      <c r="O349" s="54">
        <v>14.972106625934089</v>
      </c>
    </row>
    <row r="350" spans="1:15" x14ac:dyDescent="0.35">
      <c r="A350" s="59" t="s">
        <v>182</v>
      </c>
      <c r="B350" s="60">
        <v>45669</v>
      </c>
      <c r="C350" s="54">
        <v>180.9107336051064</v>
      </c>
      <c r="D350" s="54"/>
      <c r="E350">
        <v>180.9107336051064</v>
      </c>
      <c r="F350">
        <v>180.91662980275092</v>
      </c>
      <c r="G350">
        <v>165.49742267970871</v>
      </c>
      <c r="H350" s="54">
        <v>193</v>
      </c>
      <c r="I350" s="54" t="s">
        <v>156</v>
      </c>
      <c r="J350" s="54">
        <v>348</v>
      </c>
      <c r="K350" s="54">
        <v>349</v>
      </c>
      <c r="L350" s="54">
        <v>180.91073360510646</v>
      </c>
      <c r="M350" s="54">
        <v>5.6843418860808015E-14</v>
      </c>
      <c r="N350" s="54">
        <v>5.8961976445175424E-3</v>
      </c>
      <c r="O350" s="54">
        <v>15.413310925397695</v>
      </c>
    </row>
    <row r="351" spans="1:15" x14ac:dyDescent="0.35">
      <c r="A351" s="59" t="s">
        <v>182</v>
      </c>
      <c r="B351" s="60">
        <v>45676</v>
      </c>
      <c r="C351" s="54">
        <v>183.78631328575119</v>
      </c>
      <c r="D351" s="54"/>
      <c r="E351">
        <v>183.78631328575119</v>
      </c>
      <c r="F351">
        <v>183.79705735091292</v>
      </c>
      <c r="G351">
        <v>168.11645764947491</v>
      </c>
      <c r="H351" s="54">
        <v>193</v>
      </c>
      <c r="I351" s="54" t="s">
        <v>156</v>
      </c>
      <c r="J351" s="54">
        <v>348</v>
      </c>
      <c r="K351" s="54">
        <v>350</v>
      </c>
      <c r="L351" s="54">
        <v>183.78631328575113</v>
      </c>
      <c r="M351" s="54">
        <v>5.6843418860808015E-14</v>
      </c>
      <c r="N351" s="54">
        <v>1.0744065161730987E-2</v>
      </c>
      <c r="O351" s="54">
        <v>15.669855636276282</v>
      </c>
    </row>
    <row r="352" spans="1:15" x14ac:dyDescent="0.35">
      <c r="A352" s="59" t="s">
        <v>182</v>
      </c>
      <c r="B352" s="60">
        <v>45683</v>
      </c>
      <c r="C352" s="54">
        <v>186.5920977408507</v>
      </c>
      <c r="D352" s="54"/>
      <c r="E352">
        <v>186.5920977408507</v>
      </c>
      <c r="F352">
        <v>186.60869625903331</v>
      </c>
      <c r="G352">
        <v>170.85409798185407</v>
      </c>
      <c r="H352" s="54">
        <v>193</v>
      </c>
      <c r="I352" s="54" t="s">
        <v>156</v>
      </c>
      <c r="J352" s="54">
        <v>348</v>
      </c>
      <c r="K352" s="54">
        <v>351</v>
      </c>
      <c r="L352" s="54">
        <v>186.5920977408507</v>
      </c>
      <c r="M352" s="54">
        <v>0</v>
      </c>
      <c r="N352" s="54">
        <v>1.6598518182604494E-2</v>
      </c>
      <c r="O352" s="54">
        <v>15.737999758996637</v>
      </c>
    </row>
    <row r="353" spans="1:15" x14ac:dyDescent="0.35">
      <c r="A353" s="59" t="s">
        <v>182</v>
      </c>
      <c r="B353" s="60">
        <v>45690</v>
      </c>
      <c r="C353" s="54">
        <v>189.29446344087538</v>
      </c>
      <c r="D353" s="54"/>
      <c r="E353">
        <v>189.29446344087538</v>
      </c>
      <c r="F353">
        <v>189.31760719579842</v>
      </c>
      <c r="G353">
        <v>173.67771384207293</v>
      </c>
      <c r="H353" s="54">
        <v>193</v>
      </c>
      <c r="I353" s="54" t="s">
        <v>156</v>
      </c>
      <c r="J353" s="54">
        <v>348</v>
      </c>
      <c r="K353" s="54">
        <v>352</v>
      </c>
      <c r="L353" s="54">
        <v>189.29446344087535</v>
      </c>
      <c r="M353" s="54">
        <v>2.8421709430404007E-14</v>
      </c>
      <c r="N353" s="54">
        <v>2.314375492304066E-2</v>
      </c>
      <c r="O353" s="54">
        <v>15.616749598802443</v>
      </c>
    </row>
    <row r="354" spans="1:15" x14ac:dyDescent="0.35">
      <c r="A354" s="59" t="s">
        <v>182</v>
      </c>
      <c r="B354" s="60">
        <v>45697</v>
      </c>
      <c r="C354" s="54">
        <v>191.86129493462309</v>
      </c>
      <c r="D354" s="54"/>
      <c r="E354">
        <v>191.86129493462309</v>
      </c>
      <c r="F354">
        <v>191.89137301053438</v>
      </c>
      <c r="G354">
        <v>176.55342167856219</v>
      </c>
      <c r="H354" s="54">
        <v>193</v>
      </c>
      <c r="I354" s="54" t="s">
        <v>156</v>
      </c>
      <c r="J354" s="54">
        <v>348</v>
      </c>
      <c r="K354" s="54">
        <v>353</v>
      </c>
      <c r="L354" s="54">
        <v>191.86129493462312</v>
      </c>
      <c r="M354" s="54">
        <v>2.8421709430404007E-14</v>
      </c>
      <c r="N354" s="54">
        <v>3.007807591129108E-2</v>
      </c>
      <c r="O354" s="54">
        <v>15.307873256060901</v>
      </c>
    </row>
    <row r="355" spans="1:15" x14ac:dyDescent="0.35">
      <c r="A355" s="59" t="s">
        <v>182</v>
      </c>
      <c r="B355" s="60">
        <v>45704</v>
      </c>
      <c r="C355" s="54">
        <v>194.26245316481589</v>
      </c>
      <c r="D355" s="54"/>
      <c r="E355">
        <v>194.26245316481589</v>
      </c>
      <c r="F355">
        <v>194.29947741417934</v>
      </c>
      <c r="G355">
        <v>179.44657832143776</v>
      </c>
      <c r="H355" s="54">
        <v>193</v>
      </c>
      <c r="I355" s="54" t="s">
        <v>156</v>
      </c>
      <c r="J355" s="54">
        <v>348</v>
      </c>
      <c r="K355" s="54">
        <v>354</v>
      </c>
      <c r="L355" s="54">
        <v>194.26245316481589</v>
      </c>
      <c r="M355" s="54">
        <v>0</v>
      </c>
      <c r="N355" s="54">
        <v>3.7024249363440731E-2</v>
      </c>
      <c r="O355" s="54">
        <v>14.81587484337814</v>
      </c>
    </row>
    <row r="356" spans="1:15" x14ac:dyDescent="0.35">
      <c r="A356" s="59" t="s">
        <v>182</v>
      </c>
      <c r="B356" s="60">
        <v>45711</v>
      </c>
      <c r="C356" s="54">
        <v>196.47021496342199</v>
      </c>
      <c r="D356" s="54"/>
      <c r="E356">
        <v>196.47021496342199</v>
      </c>
      <c r="F356">
        <v>196.51377080034959</v>
      </c>
      <c r="G356">
        <v>182.32228615792707</v>
      </c>
      <c r="H356" s="54">
        <v>193</v>
      </c>
      <c r="I356" s="54" t="s">
        <v>156</v>
      </c>
      <c r="J356" s="54">
        <v>348</v>
      </c>
      <c r="K356" s="54">
        <v>355</v>
      </c>
      <c r="L356" s="54">
        <v>196.47021496342202</v>
      </c>
      <c r="M356" s="54">
        <v>2.8421709430404007E-14</v>
      </c>
      <c r="N356" s="54">
        <v>4.3555836927595237E-2</v>
      </c>
      <c r="O356" s="54">
        <v>14.147928805494928</v>
      </c>
    </row>
    <row r="357" spans="1:15" x14ac:dyDescent="0.35">
      <c r="A357" s="59" t="s">
        <v>182</v>
      </c>
      <c r="B357" s="60">
        <v>45718</v>
      </c>
      <c r="C357" s="54">
        <v>198.45967731787312</v>
      </c>
      <c r="D357" s="54"/>
      <c r="E357">
        <v>198.45967731787312</v>
      </c>
      <c r="F357">
        <v>198.50930117425276</v>
      </c>
      <c r="G357">
        <v>185.1459020181459</v>
      </c>
      <c r="H357" s="54">
        <v>193</v>
      </c>
      <c r="I357" s="54" t="s">
        <v>156</v>
      </c>
      <c r="J357" s="54">
        <v>348</v>
      </c>
      <c r="K357" s="54">
        <v>356</v>
      </c>
      <c r="L357" s="54">
        <v>198.45967731787312</v>
      </c>
      <c r="M357" s="54">
        <v>0</v>
      </c>
      <c r="N357" s="54">
        <v>4.9623856379639619E-2</v>
      </c>
      <c r="O357" s="54">
        <v>13.313775299727212</v>
      </c>
    </row>
    <row r="358" spans="1:15" x14ac:dyDescent="0.35">
      <c r="A358" s="59" t="s">
        <v>182</v>
      </c>
      <c r="B358" s="60">
        <v>45725</v>
      </c>
      <c r="C358" s="54">
        <v>200.20912051306416</v>
      </c>
      <c r="D358" s="54"/>
      <c r="E358">
        <v>200.20912051306416</v>
      </c>
      <c r="F358">
        <v>200.26470584832813</v>
      </c>
      <c r="G358">
        <v>187.88354235052509</v>
      </c>
      <c r="H358" s="54">
        <v>193</v>
      </c>
      <c r="I358" s="54" t="s">
        <v>156</v>
      </c>
      <c r="J358" s="54">
        <v>348</v>
      </c>
      <c r="K358" s="54">
        <v>357</v>
      </c>
      <c r="L358" s="54">
        <v>200.20912051306419</v>
      </c>
      <c r="M358" s="54">
        <v>2.8421709430404007E-14</v>
      </c>
      <c r="N358" s="54">
        <v>5.5585335263970137E-2</v>
      </c>
      <c r="O358" s="54">
        <v>12.325578162539074</v>
      </c>
    </row>
    <row r="359" spans="1:15" x14ac:dyDescent="0.35">
      <c r="A359" s="59" t="s">
        <v>182</v>
      </c>
      <c r="B359" s="60">
        <v>45732</v>
      </c>
      <c r="C359" s="54">
        <v>201.70032485370831</v>
      </c>
      <c r="D359" s="54"/>
      <c r="E359">
        <v>201.70032485370831</v>
      </c>
      <c r="F359">
        <v>201.76212785897548</v>
      </c>
      <c r="G359">
        <v>190.50257732029127</v>
      </c>
      <c r="H359" s="54">
        <v>193</v>
      </c>
      <c r="I359" s="54" t="s">
        <v>156</v>
      </c>
      <c r="J359" s="54">
        <v>348</v>
      </c>
      <c r="K359" s="54">
        <v>358</v>
      </c>
      <c r="L359" s="54">
        <v>201.70032485370831</v>
      </c>
      <c r="M359" s="54">
        <v>0</v>
      </c>
      <c r="N359" s="54">
        <v>6.1803005267165645E-2</v>
      </c>
      <c r="O359" s="54">
        <v>11.197747533417044</v>
      </c>
    </row>
    <row r="360" spans="1:15" x14ac:dyDescent="0.35">
      <c r="A360" s="59" t="s">
        <v>182</v>
      </c>
      <c r="B360" s="60">
        <v>45739</v>
      </c>
      <c r="C360" s="54">
        <v>202.91883634852104</v>
      </c>
      <c r="D360" s="54"/>
      <c r="E360">
        <v>202.91883634852104</v>
      </c>
      <c r="F360">
        <v>202.98826646552664</v>
      </c>
      <c r="G360">
        <v>192.97210662593409</v>
      </c>
      <c r="H360" s="54">
        <v>193</v>
      </c>
      <c r="I360" s="54" t="s">
        <v>156</v>
      </c>
      <c r="J360" s="54">
        <v>348</v>
      </c>
      <c r="K360" s="54">
        <v>359</v>
      </c>
      <c r="L360" s="54">
        <v>202.91883634852104</v>
      </c>
      <c r="M360" s="54">
        <v>0</v>
      </c>
      <c r="N360" s="54">
        <v>6.9430117005595093E-2</v>
      </c>
      <c r="O360" s="54">
        <v>9.9467297225869515</v>
      </c>
    </row>
    <row r="361" spans="1:15" x14ac:dyDescent="0.35">
      <c r="A361" s="59" t="s">
        <v>182</v>
      </c>
      <c r="B361" s="60">
        <v>45746</v>
      </c>
      <c r="C361" s="54">
        <v>203.85417748196107</v>
      </c>
      <c r="D361" s="54"/>
      <c r="E361">
        <v>203.85417748196107</v>
      </c>
      <c r="F361">
        <v>203.93284474332839</v>
      </c>
      <c r="G361">
        <v>195.26341009518353</v>
      </c>
      <c r="H361" s="54">
        <v>193</v>
      </c>
      <c r="I361" s="54" t="s">
        <v>156</v>
      </c>
      <c r="J361" s="54">
        <v>348</v>
      </c>
      <c r="K361" s="54">
        <v>360</v>
      </c>
      <c r="L361" s="54">
        <v>203.85417748196107</v>
      </c>
      <c r="M361" s="54">
        <v>0</v>
      </c>
      <c r="N361" s="54">
        <v>7.8667261367314723E-2</v>
      </c>
      <c r="O361" s="54">
        <v>8.5907673867775429</v>
      </c>
    </row>
    <row r="362" spans="1:15" x14ac:dyDescent="0.35">
      <c r="A362" s="59" t="s">
        <v>182</v>
      </c>
      <c r="B362" s="60">
        <v>45753</v>
      </c>
      <c r="C362" s="54">
        <v>204.5</v>
      </c>
      <c r="D362" s="54"/>
      <c r="E362">
        <v>204.5</v>
      </c>
      <c r="F362">
        <v>204.59036510065312</v>
      </c>
      <c r="G362">
        <v>197.35036648979377</v>
      </c>
      <c r="H362" s="54">
        <v>193</v>
      </c>
      <c r="I362" s="54" t="s">
        <v>156</v>
      </c>
      <c r="J362" s="54">
        <v>348</v>
      </c>
      <c r="K362" s="54">
        <v>361</v>
      </c>
      <c r="L362" s="54">
        <v>204.5</v>
      </c>
      <c r="M362" s="54">
        <v>0</v>
      </c>
      <c r="N362" s="54">
        <v>9.0365100653116315E-2</v>
      </c>
      <c r="O362" s="54">
        <v>7.1496335102062289</v>
      </c>
    </row>
    <row r="363" spans="1:15" x14ac:dyDescent="0.35">
      <c r="A363" s="59" t="s">
        <v>182</v>
      </c>
      <c r="B363" s="60">
        <v>45760</v>
      </c>
      <c r="C363" s="54">
        <v>204.85417748196107</v>
      </c>
      <c r="D363" s="54"/>
      <c r="E363">
        <v>204.85417748196107</v>
      </c>
      <c r="F363">
        <v>204.95848559316514</v>
      </c>
      <c r="G363">
        <v>199.2098344120169</v>
      </c>
      <c r="H363" s="54">
        <v>193</v>
      </c>
      <c r="I363" s="54" t="s">
        <v>156</v>
      </c>
      <c r="J363" s="54">
        <v>348</v>
      </c>
      <c r="K363" s="54">
        <v>362</v>
      </c>
      <c r="L363" s="54">
        <v>204.85417748196107</v>
      </c>
      <c r="M363" s="54">
        <v>0</v>
      </c>
      <c r="N363" s="54">
        <v>0.10430811120406247</v>
      </c>
      <c r="O363" s="54">
        <v>5.6443430699441706</v>
      </c>
    </row>
    <row r="364" spans="1:15" x14ac:dyDescent="0.35">
      <c r="A364" s="59" t="s">
        <v>182</v>
      </c>
      <c r="B364" s="60">
        <v>45767</v>
      </c>
      <c r="C364" s="54">
        <v>204.91883634852104</v>
      </c>
      <c r="D364" s="54"/>
      <c r="E364">
        <v>204.91883634852104</v>
      </c>
      <c r="F364">
        <v>205.04005786844166</v>
      </c>
      <c r="G364">
        <v>200.82198975829166</v>
      </c>
      <c r="H364" s="54">
        <v>193</v>
      </c>
      <c r="I364" s="54" t="s">
        <v>156</v>
      </c>
      <c r="J364" s="54">
        <v>348</v>
      </c>
      <c r="K364" s="54">
        <v>363</v>
      </c>
      <c r="L364" s="54">
        <v>204.91883634852104</v>
      </c>
      <c r="M364" s="54">
        <v>0</v>
      </c>
      <c r="N364" s="54">
        <v>0.12122151992062413</v>
      </c>
      <c r="O364" s="54">
        <v>4.0968465902293758</v>
      </c>
    </row>
    <row r="365" spans="1:15" x14ac:dyDescent="0.35">
      <c r="A365" s="59" t="s">
        <v>182</v>
      </c>
      <c r="B365" s="60">
        <v>45774</v>
      </c>
      <c r="C365" s="54">
        <v>204.70032485370831</v>
      </c>
      <c r="D365" s="54"/>
      <c r="E365">
        <v>204.70032485370831</v>
      </c>
      <c r="F365">
        <v>204.84141565105966</v>
      </c>
      <c r="G365">
        <v>202.17061479931365</v>
      </c>
      <c r="H365" s="54">
        <v>193</v>
      </c>
      <c r="I365" s="54" t="s">
        <v>156</v>
      </c>
      <c r="J365" s="54">
        <v>348</v>
      </c>
      <c r="K365" s="54">
        <v>364</v>
      </c>
      <c r="L365" s="54">
        <v>204.70032485370831</v>
      </c>
      <c r="M365" s="54">
        <v>0</v>
      </c>
      <c r="N365" s="54">
        <v>0.1410907973513531</v>
      </c>
      <c r="O365" s="54">
        <v>2.5297100543946556</v>
      </c>
    </row>
    <row r="366" spans="1:15" x14ac:dyDescent="0.35">
      <c r="A366" s="59" t="s">
        <v>182</v>
      </c>
      <c r="B366" s="60">
        <v>45781</v>
      </c>
      <c r="C366" s="54">
        <v>204.20912051306422</v>
      </c>
      <c r="D366" s="54"/>
      <c r="E366">
        <v>204.20912051306422</v>
      </c>
      <c r="F366">
        <v>204.3730873265493</v>
      </c>
      <c r="G366">
        <v>203.24333467104759</v>
      </c>
      <c r="H366" s="54">
        <v>193</v>
      </c>
      <c r="I366" s="54" t="s">
        <v>156</v>
      </c>
      <c r="J366" s="54">
        <v>348</v>
      </c>
      <c r="K366" s="54">
        <v>365</v>
      </c>
      <c r="L366" s="54">
        <v>204.20912051306419</v>
      </c>
      <c r="M366" s="54">
        <v>2.8421709430404007E-14</v>
      </c>
      <c r="N366" s="54">
        <v>0.16396681348507514</v>
      </c>
      <c r="O366" s="54">
        <v>0.9657858420166292</v>
      </c>
    </row>
    <row r="367" spans="1:15" x14ac:dyDescent="0.35">
      <c r="A367" s="59" t="s">
        <v>182</v>
      </c>
      <c r="B367" s="60">
        <v>45788</v>
      </c>
      <c r="C367" s="54">
        <v>203.45967731787317</v>
      </c>
      <c r="D367" s="54"/>
      <c r="E367">
        <v>203.45967731787317</v>
      </c>
      <c r="F367">
        <v>203.64841396218767</v>
      </c>
      <c r="G367">
        <v>204.0317978281108</v>
      </c>
      <c r="H367" s="54">
        <v>193</v>
      </c>
      <c r="I367" s="54" t="s">
        <v>156</v>
      </c>
      <c r="J367" s="54">
        <v>348</v>
      </c>
      <c r="K367" s="54">
        <v>366</v>
      </c>
      <c r="L367" s="54">
        <v>203.45967731787314</v>
      </c>
      <c r="M367" s="54">
        <v>2.8421709430404007E-14</v>
      </c>
      <c r="N367" s="54">
        <v>0.18873664431450266</v>
      </c>
      <c r="O367" s="54">
        <v>0.57212051023762456</v>
      </c>
    </row>
    <row r="368" spans="1:15" x14ac:dyDescent="0.35">
      <c r="A368" s="59" t="s">
        <v>182</v>
      </c>
      <c r="B368" s="60">
        <v>45795</v>
      </c>
      <c r="C368" s="54">
        <v>202.47021496342205</v>
      </c>
      <c r="D368" s="54"/>
      <c r="E368">
        <v>202.47021496342205</v>
      </c>
      <c r="F368">
        <v>202.68426278325776</v>
      </c>
      <c r="G368">
        <v>204.5317978281108</v>
      </c>
      <c r="H368" s="54">
        <v>193</v>
      </c>
      <c r="I368" s="54" t="s">
        <v>156</v>
      </c>
      <c r="J368" s="54">
        <v>348</v>
      </c>
      <c r="K368" s="54">
        <v>367</v>
      </c>
      <c r="L368" s="54">
        <v>202.47021496342202</v>
      </c>
      <c r="M368" s="54">
        <v>2.8421709430404007E-14</v>
      </c>
      <c r="N368" s="54">
        <v>0.21404781983571297</v>
      </c>
      <c r="O368" s="54">
        <v>2.0615828646887451</v>
      </c>
    </row>
    <row r="369" spans="1:15" x14ac:dyDescent="0.35">
      <c r="A369" s="59" t="s">
        <v>182</v>
      </c>
      <c r="B369" s="60">
        <v>45802</v>
      </c>
      <c r="C369" s="54">
        <v>201.26245316481598</v>
      </c>
      <c r="D369" s="54"/>
      <c r="E369">
        <v>201.26245316481598</v>
      </c>
      <c r="F369">
        <v>201.50090105096166</v>
      </c>
      <c r="G369">
        <v>204.74333467104759</v>
      </c>
      <c r="H369" s="54">
        <v>193</v>
      </c>
      <c r="I369" s="54" t="s">
        <v>156</v>
      </c>
      <c r="J369" s="54">
        <v>348</v>
      </c>
      <c r="K369" s="54">
        <v>368</v>
      </c>
      <c r="L369" s="54">
        <v>201.26245316481592</v>
      </c>
      <c r="M369" s="54">
        <v>5.6843418860808015E-14</v>
      </c>
      <c r="N369" s="54">
        <v>0.23844788614567847</v>
      </c>
      <c r="O369" s="54">
        <v>3.4808815062316114</v>
      </c>
    </row>
    <row r="370" spans="1:15" x14ac:dyDescent="0.35">
      <c r="A370" s="59" t="s">
        <v>182</v>
      </c>
      <c r="B370" s="60">
        <v>45809</v>
      </c>
      <c r="C370" s="54">
        <v>199.86129493462312</v>
      </c>
      <c r="D370" s="54"/>
      <c r="E370">
        <v>199.86129493462312</v>
      </c>
      <c r="F370">
        <v>200.12190396907459</v>
      </c>
      <c r="G370">
        <v>204.67061479931365</v>
      </c>
      <c r="H370" s="54">
        <v>193</v>
      </c>
      <c r="I370" s="54" t="s">
        <v>156</v>
      </c>
      <c r="J370" s="54">
        <v>348</v>
      </c>
      <c r="K370" s="54">
        <v>369</v>
      </c>
      <c r="L370" s="54">
        <v>199.86129493462315</v>
      </c>
      <c r="M370" s="54">
        <v>2.8421709430404007E-14</v>
      </c>
      <c r="N370" s="54">
        <v>0.26060903445147687</v>
      </c>
      <c r="O370" s="54">
        <v>4.8093198646905364</v>
      </c>
    </row>
    <row r="371" spans="1:15" x14ac:dyDescent="0.35">
      <c r="A371" s="59" t="s">
        <v>182</v>
      </c>
      <c r="B371" s="60">
        <v>45816</v>
      </c>
      <c r="C371" s="54">
        <v>198.29446344087535</v>
      </c>
      <c r="D371" s="54"/>
      <c r="E371">
        <v>198.29446344087535</v>
      </c>
      <c r="F371">
        <v>198.57386198898905</v>
      </c>
      <c r="G371">
        <v>204.32198975829169</v>
      </c>
      <c r="H371" s="54">
        <v>193</v>
      </c>
      <c r="I371" s="54" t="s">
        <v>156</v>
      </c>
      <c r="J371" s="54">
        <v>348</v>
      </c>
      <c r="K371" s="54">
        <v>370</v>
      </c>
      <c r="L371" s="54">
        <v>198.29446344087538</v>
      </c>
      <c r="M371" s="54">
        <v>2.8421709430404007E-14</v>
      </c>
      <c r="N371" s="54">
        <v>0.27939854811370424</v>
      </c>
      <c r="O371" s="54">
        <v>6.0275263174163456</v>
      </c>
    </row>
    <row r="372" spans="1:15" x14ac:dyDescent="0.35">
      <c r="A372" s="59" t="s">
        <v>182</v>
      </c>
      <c r="B372" s="60">
        <v>45823</v>
      </c>
      <c r="C372" s="54">
        <v>196.59209774085073</v>
      </c>
      <c r="D372" s="54"/>
      <c r="E372">
        <v>196.59209774085073</v>
      </c>
      <c r="F372">
        <v>196.88562376273305</v>
      </c>
      <c r="G372">
        <v>203.7098344120169</v>
      </c>
      <c r="H372" s="54">
        <v>193</v>
      </c>
      <c r="I372" s="54" t="s">
        <v>156</v>
      </c>
      <c r="J372" s="54">
        <v>348</v>
      </c>
      <c r="K372" s="54">
        <v>371</v>
      </c>
      <c r="L372" s="54">
        <v>196.59209774085073</v>
      </c>
      <c r="M372" s="54">
        <v>0</v>
      </c>
      <c r="N372" s="54">
        <v>0.29352602188231458</v>
      </c>
      <c r="O372" s="54">
        <v>7.1177366711661705</v>
      </c>
    </row>
    <row r="373" spans="1:15" x14ac:dyDescent="0.35">
      <c r="A373" s="59" t="s">
        <v>182</v>
      </c>
      <c r="B373" s="60">
        <v>45830</v>
      </c>
      <c r="C373" s="54">
        <v>194.78631328575116</v>
      </c>
      <c r="D373" s="54"/>
      <c r="E373">
        <v>194.78631328575116</v>
      </c>
      <c r="F373">
        <v>195.08832563086179</v>
      </c>
      <c r="G373">
        <v>202.85036648979383</v>
      </c>
      <c r="H373" s="54">
        <v>193</v>
      </c>
      <c r="I373" s="54" t="s">
        <v>156</v>
      </c>
      <c r="J373" s="54">
        <v>348</v>
      </c>
      <c r="K373" s="54">
        <v>372</v>
      </c>
      <c r="L373" s="54">
        <v>194.78631328575116</v>
      </c>
      <c r="M373" s="54">
        <v>0</v>
      </c>
      <c r="N373" s="54">
        <v>0.3020123451106258</v>
      </c>
      <c r="O373" s="54">
        <v>8.0640532040426649</v>
      </c>
    </row>
    <row r="374" spans="1:15" x14ac:dyDescent="0.35">
      <c r="A374" s="59" t="s">
        <v>182</v>
      </c>
      <c r="B374" s="60">
        <v>45837</v>
      </c>
      <c r="C374" s="54">
        <v>192.91073360510651</v>
      </c>
      <c r="D374" s="54"/>
      <c r="E374">
        <v>192.91073360510651</v>
      </c>
      <c r="F374">
        <v>193.21529382004616</v>
      </c>
      <c r="G374">
        <v>201.76341009518359</v>
      </c>
      <c r="H374" s="54">
        <v>193</v>
      </c>
      <c r="I374" s="54" t="s">
        <v>156</v>
      </c>
      <c r="J374" s="54">
        <v>348</v>
      </c>
      <c r="K374" s="54">
        <v>373</v>
      </c>
      <c r="L374" s="54">
        <v>192.91073360510646</v>
      </c>
      <c r="M374" s="54">
        <v>5.6843418860808015E-14</v>
      </c>
      <c r="N374" s="54">
        <v>0.30456021493964158</v>
      </c>
      <c r="O374" s="54">
        <v>8.8526764900770729</v>
      </c>
    </row>
    <row r="375" spans="1:15" x14ac:dyDescent="0.35">
      <c r="A375" s="59" t="s">
        <v>183</v>
      </c>
      <c r="B375" s="60">
        <v>44570</v>
      </c>
      <c r="C375" s="54">
        <v>109.93428306022466</v>
      </c>
      <c r="D375" s="54">
        <v>109.93428306022466</v>
      </c>
      <c r="E375"/>
      <c r="F375"/>
      <c r="G375" t="e">
        <v>#N/A</v>
      </c>
      <c r="H375" s="54">
        <v>375</v>
      </c>
      <c r="I375" s="54">
        <v>1</v>
      </c>
      <c r="J375" s="54">
        <v>375</v>
      </c>
      <c r="K375" s="54">
        <v>374</v>
      </c>
      <c r="L375" s="54" t="e">
        <v>#N/A</v>
      </c>
      <c r="M375" s="54" t="s">
        <v>156</v>
      </c>
      <c r="N375" s="54" t="s">
        <v>156</v>
      </c>
      <c r="O375" s="54" t="s">
        <v>156</v>
      </c>
    </row>
    <row r="376" spans="1:15" x14ac:dyDescent="0.35">
      <c r="A376" s="59" t="s">
        <v>183</v>
      </c>
      <c r="B376" s="60">
        <v>44577</v>
      </c>
      <c r="C376" s="54">
        <v>100.14544758168276</v>
      </c>
      <c r="D376" s="54">
        <v>100.14544758168276</v>
      </c>
      <c r="E376"/>
      <c r="F376"/>
      <c r="G376" t="e">
        <v>#N/A</v>
      </c>
      <c r="H376" s="54">
        <v>375</v>
      </c>
      <c r="I376" s="54">
        <v>2</v>
      </c>
      <c r="J376" s="54">
        <v>376</v>
      </c>
      <c r="K376" s="54">
        <v>375</v>
      </c>
      <c r="L376" s="54" t="e">
        <v>#N/A</v>
      </c>
      <c r="M376" s="54" t="s">
        <v>156</v>
      </c>
      <c r="N376" s="54" t="s">
        <v>156</v>
      </c>
      <c r="O376" s="54" t="s">
        <v>156</v>
      </c>
    </row>
    <row r="377" spans="1:15" x14ac:dyDescent="0.35">
      <c r="A377" s="59" t="s">
        <v>183</v>
      </c>
      <c r="B377" s="60">
        <v>44584</v>
      </c>
      <c r="C377" s="54">
        <v>118.740084047765</v>
      </c>
      <c r="D377" s="54">
        <v>118.740084047765</v>
      </c>
      <c r="E377"/>
      <c r="F377"/>
      <c r="G377" t="e">
        <v>#N/A</v>
      </c>
      <c r="H377" s="54">
        <v>375</v>
      </c>
      <c r="I377" s="54">
        <v>3</v>
      </c>
      <c r="J377" s="54">
        <v>377</v>
      </c>
      <c r="K377" s="54">
        <v>376</v>
      </c>
      <c r="L377" s="54" t="e">
        <v>#N/A</v>
      </c>
      <c r="M377" s="54" t="s">
        <v>156</v>
      </c>
      <c r="N377" s="54" t="s">
        <v>156</v>
      </c>
      <c r="O377" s="54" t="s">
        <v>156</v>
      </c>
    </row>
    <row r="378" spans="1:15" x14ac:dyDescent="0.35">
      <c r="A378" s="59" t="s">
        <v>183</v>
      </c>
      <c r="B378" s="60">
        <v>44591</v>
      </c>
      <c r="C378" s="54">
        <v>139.05269486901122</v>
      </c>
      <c r="D378" s="54">
        <v>139.05269486901122</v>
      </c>
      <c r="E378"/>
      <c r="F378"/>
      <c r="G378" t="e">
        <v>#N/A</v>
      </c>
      <c r="H378" s="54">
        <v>375</v>
      </c>
      <c r="I378" s="54">
        <v>4</v>
      </c>
      <c r="J378" s="54">
        <v>378</v>
      </c>
      <c r="K378" s="54">
        <v>377</v>
      </c>
      <c r="L378" s="54" t="e">
        <v>#N/A</v>
      </c>
      <c r="M378" s="54" t="s">
        <v>156</v>
      </c>
      <c r="N378" s="54" t="s">
        <v>156</v>
      </c>
      <c r="O378" s="54" t="s">
        <v>156</v>
      </c>
    </row>
    <row r="379" spans="1:15" x14ac:dyDescent="0.35">
      <c r="A379" s="59" t="s">
        <v>183</v>
      </c>
      <c r="B379" s="60">
        <v>44598</v>
      </c>
      <c r="C379" s="54">
        <v>106.61139594640866</v>
      </c>
      <c r="D379" s="54">
        <v>106.61139594640866</v>
      </c>
      <c r="E379"/>
      <c r="F379"/>
      <c r="G379" t="e">
        <v>#N/A</v>
      </c>
      <c r="H379" s="54">
        <v>375</v>
      </c>
      <c r="I379" s="54">
        <v>5</v>
      </c>
      <c r="J379" s="54">
        <v>379</v>
      </c>
      <c r="K379" s="54">
        <v>378</v>
      </c>
      <c r="L379" s="54" t="e">
        <v>#N/A</v>
      </c>
      <c r="M379" s="54" t="s">
        <v>156</v>
      </c>
      <c r="N379" s="54" t="s">
        <v>156</v>
      </c>
      <c r="O379" s="54" t="s">
        <v>156</v>
      </c>
    </row>
    <row r="380" spans="1:15" x14ac:dyDescent="0.35">
      <c r="A380" s="59" t="s">
        <v>183</v>
      </c>
      <c r="B380" s="60">
        <v>44605</v>
      </c>
      <c r="C380" s="54">
        <v>109.17855579563951</v>
      </c>
      <c r="D380" s="54">
        <v>109.17855579563951</v>
      </c>
      <c r="E380"/>
      <c r="F380"/>
      <c r="G380" t="e">
        <v>#N/A</v>
      </c>
      <c r="H380" s="54">
        <v>375</v>
      </c>
      <c r="I380" s="54">
        <v>6</v>
      </c>
      <c r="J380" s="54">
        <v>380</v>
      </c>
      <c r="K380" s="54">
        <v>379</v>
      </c>
      <c r="L380" s="54" t="e">
        <v>#N/A</v>
      </c>
      <c r="M380" s="54" t="s">
        <v>156</v>
      </c>
      <c r="N380" s="54" t="s">
        <v>156</v>
      </c>
      <c r="O380" s="54" t="s">
        <v>156</v>
      </c>
    </row>
    <row r="381" spans="1:15" x14ac:dyDescent="0.35">
      <c r="A381" s="59" t="s">
        <v>183</v>
      </c>
      <c r="B381" s="60">
        <v>44612</v>
      </c>
      <c r="C381" s="54">
        <v>147.84670947496375</v>
      </c>
      <c r="D381" s="54">
        <v>147.84670947496375</v>
      </c>
      <c r="E381"/>
      <c r="F381"/>
      <c r="G381" t="e">
        <v>#N/A</v>
      </c>
      <c r="H381" s="54">
        <v>375</v>
      </c>
      <c r="I381" s="54">
        <v>7</v>
      </c>
      <c r="J381" s="54">
        <v>381</v>
      </c>
      <c r="K381" s="54">
        <v>380</v>
      </c>
      <c r="L381" s="54" t="e">
        <v>#N/A</v>
      </c>
      <c r="M381" s="54" t="s">
        <v>156</v>
      </c>
      <c r="N381" s="54" t="s">
        <v>156</v>
      </c>
      <c r="O381" s="54" t="s">
        <v>156</v>
      </c>
    </row>
    <row r="382" spans="1:15" x14ac:dyDescent="0.35">
      <c r="A382" s="59" t="s">
        <v>183</v>
      </c>
      <c r="B382" s="60">
        <v>44619</v>
      </c>
      <c r="C382" s="54">
        <v>133.8189095464802</v>
      </c>
      <c r="D382" s="54">
        <v>133.8189095464802</v>
      </c>
      <c r="E382"/>
      <c r="F382"/>
      <c r="G382" t="e">
        <v>#N/A</v>
      </c>
      <c r="H382" s="54">
        <v>375</v>
      </c>
      <c r="I382" s="54">
        <v>8</v>
      </c>
      <c r="J382" s="54">
        <v>382</v>
      </c>
      <c r="K382" s="54">
        <v>381</v>
      </c>
      <c r="L382" s="54" t="e">
        <v>#N/A</v>
      </c>
      <c r="M382" s="54" t="s">
        <v>156</v>
      </c>
      <c r="N382" s="54" t="s">
        <v>156</v>
      </c>
      <c r="O382" s="54" t="s">
        <v>156</v>
      </c>
    </row>
    <row r="383" spans="1:15" x14ac:dyDescent="0.35">
      <c r="A383" s="59" t="s">
        <v>183</v>
      </c>
      <c r="B383" s="60">
        <v>44626</v>
      </c>
      <c r="C383" s="54">
        <v>111.07018959917409</v>
      </c>
      <c r="D383" s="54">
        <v>111.07018959917409</v>
      </c>
      <c r="E383"/>
      <c r="F383"/>
      <c r="G383" t="e">
        <v>#N/A</v>
      </c>
      <c r="H383" s="54">
        <v>375</v>
      </c>
      <c r="I383" s="54">
        <v>9</v>
      </c>
      <c r="J383" s="54">
        <v>383</v>
      </c>
      <c r="K383" s="54">
        <v>382</v>
      </c>
      <c r="L383" s="54" t="e">
        <v>#N/A</v>
      </c>
      <c r="M383" s="54" t="s">
        <v>156</v>
      </c>
      <c r="N383" s="54" t="s">
        <v>156</v>
      </c>
      <c r="O383" s="54" t="s">
        <v>156</v>
      </c>
    </row>
    <row r="384" spans="1:15" x14ac:dyDescent="0.35">
      <c r="A384" s="59" t="s">
        <v>183</v>
      </c>
      <c r="B384" s="60">
        <v>44633</v>
      </c>
      <c r="C384" s="54">
        <v>133.06032138478349</v>
      </c>
      <c r="D384" s="54">
        <v>133.06032138478349</v>
      </c>
      <c r="E384"/>
      <c r="F384"/>
      <c r="G384" t="e">
        <v>#N/A</v>
      </c>
      <c r="H384" s="54">
        <v>375</v>
      </c>
      <c r="I384" s="54">
        <v>10</v>
      </c>
      <c r="J384" s="54">
        <v>384</v>
      </c>
      <c r="K384" s="54">
        <v>383</v>
      </c>
      <c r="L384" s="54" t="e">
        <v>#N/A</v>
      </c>
      <c r="M384" s="54" t="s">
        <v>156</v>
      </c>
      <c r="N384" s="54" t="s">
        <v>156</v>
      </c>
      <c r="O384" s="54" t="s">
        <v>156</v>
      </c>
    </row>
    <row r="385" spans="1:15" x14ac:dyDescent="0.35">
      <c r="A385" s="59" t="s">
        <v>183</v>
      </c>
      <c r="B385" s="60">
        <v>44640</v>
      </c>
      <c r="C385" s="54">
        <v>114.43197099745905</v>
      </c>
      <c r="D385" s="54">
        <v>114.43197099745905</v>
      </c>
      <c r="E385"/>
      <c r="F385"/>
      <c r="G385" t="e">
        <v>#N/A</v>
      </c>
      <c r="H385" s="54">
        <v>375</v>
      </c>
      <c r="I385" s="54">
        <v>11</v>
      </c>
      <c r="J385" s="54">
        <v>385</v>
      </c>
      <c r="K385" s="54">
        <v>384</v>
      </c>
      <c r="L385" s="54" t="e">
        <v>#N/A</v>
      </c>
      <c r="M385" s="54" t="s">
        <v>156</v>
      </c>
      <c r="N385" s="54" t="s">
        <v>156</v>
      </c>
      <c r="O385" s="54" t="s">
        <v>156</v>
      </c>
    </row>
    <row r="386" spans="1:15" x14ac:dyDescent="0.35">
      <c r="A386" s="59" t="s">
        <v>183</v>
      </c>
      <c r="B386" s="60">
        <v>44647</v>
      </c>
      <c r="C386" s="54">
        <v>115.6042412771159</v>
      </c>
      <c r="D386" s="54">
        <v>115.6042412771159</v>
      </c>
      <c r="E386"/>
      <c r="F386"/>
      <c r="G386" t="e">
        <v>#N/A</v>
      </c>
      <c r="H386" s="54">
        <v>375</v>
      </c>
      <c r="I386" s="54">
        <v>12</v>
      </c>
      <c r="J386" s="54">
        <v>386</v>
      </c>
      <c r="K386" s="54">
        <v>385</v>
      </c>
      <c r="L386" s="54" t="e">
        <v>#N/A</v>
      </c>
      <c r="M386" s="54" t="s">
        <v>156</v>
      </c>
      <c r="N386" s="54" t="s">
        <v>156</v>
      </c>
      <c r="O386" s="54" t="s">
        <v>156</v>
      </c>
    </row>
    <row r="387" spans="1:15" x14ac:dyDescent="0.35">
      <c r="A387" s="59" t="s">
        <v>183</v>
      </c>
      <c r="B387" s="60">
        <v>44654</v>
      </c>
      <c r="C387" s="54">
        <v>130.69342291328175</v>
      </c>
      <c r="D387" s="54">
        <v>130.69342291328175</v>
      </c>
      <c r="E387"/>
      <c r="F387"/>
      <c r="G387" t="e">
        <v>#N/A</v>
      </c>
      <c r="H387" s="54">
        <v>375</v>
      </c>
      <c r="I387" s="54">
        <v>13</v>
      </c>
      <c r="J387" s="54">
        <v>387</v>
      </c>
      <c r="K387" s="54">
        <v>386</v>
      </c>
      <c r="L387" s="54" t="e">
        <v>#N/A</v>
      </c>
      <c r="M387" s="54" t="s">
        <v>156</v>
      </c>
      <c r="N387" s="54" t="s">
        <v>156</v>
      </c>
      <c r="O387" s="54" t="s">
        <v>156</v>
      </c>
    </row>
    <row r="388" spans="1:15" x14ac:dyDescent="0.35">
      <c r="A388" s="59" t="s">
        <v>183</v>
      </c>
      <c r="B388" s="60">
        <v>44661</v>
      </c>
      <c r="C388" s="54">
        <v>88.234395106844033</v>
      </c>
      <c r="D388" s="54">
        <v>88.234395106844033</v>
      </c>
      <c r="E388"/>
      <c r="F388"/>
      <c r="G388" t="e">
        <v>#N/A</v>
      </c>
      <c r="H388" s="54">
        <v>375</v>
      </c>
      <c r="I388" s="54">
        <v>14</v>
      </c>
      <c r="J388" s="54">
        <v>388</v>
      </c>
      <c r="K388" s="54">
        <v>387</v>
      </c>
      <c r="L388" s="54" t="e">
        <v>#N/A</v>
      </c>
      <c r="M388" s="54" t="s">
        <v>156</v>
      </c>
      <c r="N388" s="54" t="s">
        <v>156</v>
      </c>
      <c r="O388" s="54" t="s">
        <v>156</v>
      </c>
    </row>
    <row r="389" spans="1:15" x14ac:dyDescent="0.35">
      <c r="A389" s="59" t="s">
        <v>183</v>
      </c>
      <c r="B389" s="60">
        <v>44668</v>
      </c>
      <c r="C389" s="54">
        <v>92.355820831700413</v>
      </c>
      <c r="D389" s="54">
        <v>92.355820831700413</v>
      </c>
      <c r="E389"/>
      <c r="F389"/>
      <c r="G389" t="e">
        <v>#N/A</v>
      </c>
      <c r="H389" s="54">
        <v>375</v>
      </c>
      <c r="I389" s="54">
        <v>15</v>
      </c>
      <c r="J389" s="54">
        <v>389</v>
      </c>
      <c r="K389" s="54">
        <v>388</v>
      </c>
      <c r="L389" s="54" t="e">
        <v>#N/A</v>
      </c>
      <c r="M389" s="54" t="s">
        <v>156</v>
      </c>
      <c r="N389" s="54" t="s">
        <v>156</v>
      </c>
      <c r="O389" s="54" t="s">
        <v>156</v>
      </c>
    </row>
    <row r="390" spans="1:15" x14ac:dyDescent="0.35">
      <c r="A390" s="59" t="s">
        <v>183</v>
      </c>
      <c r="B390" s="60">
        <v>44675</v>
      </c>
      <c r="C390" s="54">
        <v>115.67308576370158</v>
      </c>
      <c r="D390" s="54">
        <v>115.67308576370158</v>
      </c>
      <c r="E390"/>
      <c r="F390"/>
      <c r="G390" t="e">
        <v>#N/A</v>
      </c>
      <c r="H390" s="54">
        <v>375</v>
      </c>
      <c r="I390" s="54">
        <v>16</v>
      </c>
      <c r="J390" s="54">
        <v>390</v>
      </c>
      <c r="K390" s="54">
        <v>389</v>
      </c>
      <c r="L390" s="54" t="e">
        <v>#N/A</v>
      </c>
      <c r="M390" s="54" t="s">
        <v>156</v>
      </c>
      <c r="N390" s="54" t="s">
        <v>156</v>
      </c>
      <c r="O390" s="54" t="s">
        <v>156</v>
      </c>
    </row>
    <row r="391" spans="1:15" x14ac:dyDescent="0.35">
      <c r="A391" s="59" t="s">
        <v>183</v>
      </c>
      <c r="B391" s="60">
        <v>44682</v>
      </c>
      <c r="C391" s="54">
        <v>106.44370244701982</v>
      </c>
      <c r="D391" s="54">
        <v>106.44370244701982</v>
      </c>
      <c r="E391"/>
      <c r="F391"/>
      <c r="G391" t="e">
        <v>#N/A</v>
      </c>
      <c r="H391" s="54">
        <v>375</v>
      </c>
      <c r="I391" s="54">
        <v>17</v>
      </c>
      <c r="J391" s="54">
        <v>391</v>
      </c>
      <c r="K391" s="54">
        <v>390</v>
      </c>
      <c r="L391" s="54" t="e">
        <v>#N/A</v>
      </c>
      <c r="M391" s="54" t="s">
        <v>156</v>
      </c>
      <c r="N391" s="54" t="s">
        <v>156</v>
      </c>
      <c r="O391" s="54" t="s">
        <v>156</v>
      </c>
    </row>
    <row r="392" spans="1:15" x14ac:dyDescent="0.35">
      <c r="A392" s="59" t="s">
        <v>183</v>
      </c>
      <c r="B392" s="60">
        <v>44689</v>
      </c>
      <c r="C392" s="54">
        <v>132.49406716496966</v>
      </c>
      <c r="D392" s="54">
        <v>132.49406716496966</v>
      </c>
      <c r="E392"/>
      <c r="F392"/>
      <c r="G392" t="e">
        <v>#N/A</v>
      </c>
      <c r="H392" s="54">
        <v>375</v>
      </c>
      <c r="I392" s="54">
        <v>18</v>
      </c>
      <c r="J392" s="54">
        <v>392</v>
      </c>
      <c r="K392" s="54">
        <v>391</v>
      </c>
      <c r="L392" s="54" t="e">
        <v>#N/A</v>
      </c>
      <c r="M392" s="54" t="s">
        <v>156</v>
      </c>
      <c r="N392" s="54" t="s">
        <v>156</v>
      </c>
      <c r="O392" s="54" t="s">
        <v>156</v>
      </c>
    </row>
    <row r="393" spans="1:15" x14ac:dyDescent="0.35">
      <c r="A393" s="59" t="s">
        <v>183</v>
      </c>
      <c r="B393" s="60">
        <v>44696</v>
      </c>
      <c r="C393" s="54">
        <v>107.29919580744891</v>
      </c>
      <c r="D393" s="54">
        <v>107.29919580744891</v>
      </c>
      <c r="E393"/>
      <c r="F393"/>
      <c r="G393" t="e">
        <v>#N/A</v>
      </c>
      <c r="H393" s="54">
        <v>375</v>
      </c>
      <c r="I393" s="54">
        <v>19</v>
      </c>
      <c r="J393" s="54">
        <v>393</v>
      </c>
      <c r="K393" s="54">
        <v>392</v>
      </c>
      <c r="L393" s="54" t="e">
        <v>#N/A</v>
      </c>
      <c r="M393" s="54" t="s">
        <v>156</v>
      </c>
      <c r="N393" s="54" t="s">
        <v>156</v>
      </c>
      <c r="O393" s="54" t="s">
        <v>156</v>
      </c>
    </row>
    <row r="394" spans="1:15" x14ac:dyDescent="0.35">
      <c r="A394" s="59" t="s">
        <v>183</v>
      </c>
      <c r="B394" s="60">
        <v>44703</v>
      </c>
      <c r="C394" s="54">
        <v>96.224140936716196</v>
      </c>
      <c r="D394" s="54">
        <v>96.224140936716196</v>
      </c>
      <c r="E394"/>
      <c r="F394"/>
      <c r="G394" t="e">
        <v>#N/A</v>
      </c>
      <c r="H394" s="54">
        <v>375</v>
      </c>
      <c r="I394" s="54">
        <v>20</v>
      </c>
      <c r="J394" s="54">
        <v>394</v>
      </c>
      <c r="K394" s="54">
        <v>393</v>
      </c>
      <c r="L394" s="54" t="e">
        <v>#N/A</v>
      </c>
      <c r="M394" s="54" t="s">
        <v>156</v>
      </c>
      <c r="N394" s="54" t="s">
        <v>156</v>
      </c>
      <c r="O394" s="54" t="s">
        <v>156</v>
      </c>
    </row>
    <row r="395" spans="1:15" x14ac:dyDescent="0.35">
      <c r="A395" s="59" t="s">
        <v>183</v>
      </c>
      <c r="B395" s="60">
        <v>44710</v>
      </c>
      <c r="C395" s="54">
        <v>152.575428543247</v>
      </c>
      <c r="D395" s="54">
        <v>152.575428543247</v>
      </c>
      <c r="E395"/>
      <c r="F395"/>
      <c r="G395" t="e">
        <v>#N/A</v>
      </c>
      <c r="H395" s="54">
        <v>375</v>
      </c>
      <c r="I395" s="54">
        <v>21</v>
      </c>
      <c r="J395" s="54">
        <v>395</v>
      </c>
      <c r="K395" s="54">
        <v>394</v>
      </c>
      <c r="L395" s="54" t="e">
        <v>#N/A</v>
      </c>
      <c r="M395" s="54" t="s">
        <v>156</v>
      </c>
      <c r="N395" s="54" t="s">
        <v>156</v>
      </c>
      <c r="O395" s="54" t="s">
        <v>156</v>
      </c>
    </row>
    <row r="396" spans="1:15" x14ac:dyDescent="0.35">
      <c r="A396" s="59" t="s">
        <v>183</v>
      </c>
      <c r="B396" s="60">
        <v>44717</v>
      </c>
      <c r="C396" s="54">
        <v>117.34576892489241</v>
      </c>
      <c r="D396" s="54">
        <v>117.34576892489241</v>
      </c>
      <c r="E396"/>
      <c r="F396"/>
      <c r="G396" t="e">
        <v>#N/A</v>
      </c>
      <c r="H396" s="54">
        <v>375</v>
      </c>
      <c r="I396" s="54">
        <v>22</v>
      </c>
      <c r="J396" s="54">
        <v>396</v>
      </c>
      <c r="K396" s="54">
        <v>395</v>
      </c>
      <c r="L396" s="54" t="e">
        <v>#N/A</v>
      </c>
      <c r="M396" s="54" t="s">
        <v>156</v>
      </c>
      <c r="N396" s="54" t="s">
        <v>156</v>
      </c>
      <c r="O396" s="54" t="s">
        <v>156</v>
      </c>
    </row>
    <row r="397" spans="1:15" x14ac:dyDescent="0.35">
      <c r="A397" s="59" t="s">
        <v>183</v>
      </c>
      <c r="B397" s="60">
        <v>44724</v>
      </c>
      <c r="C397" s="54">
        <v>121.64502753463385</v>
      </c>
      <c r="D397" s="54">
        <v>121.64502753463385</v>
      </c>
      <c r="E397"/>
      <c r="F397"/>
      <c r="G397" t="e">
        <v>#N/A</v>
      </c>
      <c r="H397" s="54">
        <v>375</v>
      </c>
      <c r="I397" s="54">
        <v>23</v>
      </c>
      <c r="J397" s="54">
        <v>397</v>
      </c>
      <c r="K397" s="54">
        <v>396</v>
      </c>
      <c r="L397" s="54" t="e">
        <v>#N/A</v>
      </c>
      <c r="M397" s="54" t="s">
        <v>156</v>
      </c>
      <c r="N397" s="54" t="s">
        <v>156</v>
      </c>
      <c r="O397" s="54" t="s">
        <v>156</v>
      </c>
    </row>
    <row r="398" spans="1:15" x14ac:dyDescent="0.35">
      <c r="A398" s="59" t="s">
        <v>183</v>
      </c>
      <c r="B398" s="60">
        <v>44731</v>
      </c>
      <c r="C398" s="54">
        <v>90.097134016581577</v>
      </c>
      <c r="D398" s="54">
        <v>90.097134016581577</v>
      </c>
      <c r="E398"/>
      <c r="F398"/>
      <c r="G398" t="e">
        <v>#N/A</v>
      </c>
      <c r="H398" s="54">
        <v>375</v>
      </c>
      <c r="I398" s="54">
        <v>24</v>
      </c>
      <c r="J398" s="54">
        <v>398</v>
      </c>
      <c r="K398" s="54">
        <v>397</v>
      </c>
      <c r="L398" s="54" t="e">
        <v>#N/A</v>
      </c>
      <c r="M398" s="54" t="s">
        <v>156</v>
      </c>
      <c r="N398" s="54" t="s">
        <v>156</v>
      </c>
      <c r="O398" s="54" t="s">
        <v>156</v>
      </c>
    </row>
    <row r="399" spans="1:15" x14ac:dyDescent="0.35">
      <c r="A399" s="59" t="s">
        <v>183</v>
      </c>
      <c r="B399" s="60">
        <v>44738</v>
      </c>
      <c r="C399" s="54">
        <v>105.8986587952475</v>
      </c>
      <c r="D399" s="54">
        <v>105.8986587952475</v>
      </c>
      <c r="E399"/>
      <c r="F399"/>
      <c r="G399" t="e">
        <v>#N/A</v>
      </c>
      <c r="H399" s="54">
        <v>375</v>
      </c>
      <c r="I399" s="54">
        <v>25</v>
      </c>
      <c r="J399" s="54">
        <v>399</v>
      </c>
      <c r="K399" s="54">
        <v>398</v>
      </c>
      <c r="L399" s="54" t="e">
        <v>#N/A</v>
      </c>
      <c r="M399" s="54" t="s">
        <v>156</v>
      </c>
      <c r="N399" s="54" t="s">
        <v>156</v>
      </c>
      <c r="O399" s="54" t="s">
        <v>156</v>
      </c>
    </row>
    <row r="400" spans="1:15" x14ac:dyDescent="0.35">
      <c r="A400" s="59" t="s">
        <v>183</v>
      </c>
      <c r="B400" s="60">
        <v>44745</v>
      </c>
      <c r="C400" s="54">
        <v>117.12918539930378</v>
      </c>
      <c r="D400" s="54">
        <v>117.12918539930378</v>
      </c>
      <c r="E400"/>
      <c r="F400"/>
      <c r="G400" t="e">
        <v>#N/A</v>
      </c>
      <c r="H400" s="54">
        <v>375</v>
      </c>
      <c r="I400" s="54">
        <v>26</v>
      </c>
      <c r="J400" s="54">
        <v>400</v>
      </c>
      <c r="K400" s="54">
        <v>399</v>
      </c>
      <c r="L400" s="54" t="e">
        <v>#N/A</v>
      </c>
      <c r="M400" s="54" t="s">
        <v>156</v>
      </c>
      <c r="N400" s="54" t="s">
        <v>156</v>
      </c>
      <c r="O400" s="54" t="s">
        <v>156</v>
      </c>
    </row>
    <row r="401" spans="1:15" x14ac:dyDescent="0.35">
      <c r="A401" s="59" t="s">
        <v>183</v>
      </c>
      <c r="B401" s="60">
        <v>44752</v>
      </c>
      <c r="C401" s="54">
        <v>89.980128451553952</v>
      </c>
      <c r="D401" s="54">
        <v>89.980128451553952</v>
      </c>
      <c r="E401"/>
      <c r="F401"/>
      <c r="G401" t="e">
        <v>#N/A</v>
      </c>
      <c r="H401" s="54">
        <v>375</v>
      </c>
      <c r="I401" s="54">
        <v>27</v>
      </c>
      <c r="J401" s="54">
        <v>401</v>
      </c>
      <c r="K401" s="54">
        <v>400</v>
      </c>
      <c r="L401" s="54" t="e">
        <v>#N/A</v>
      </c>
      <c r="M401" s="54" t="s">
        <v>156</v>
      </c>
      <c r="N401" s="54" t="s">
        <v>156</v>
      </c>
      <c r="O401" s="54" t="s">
        <v>156</v>
      </c>
    </row>
    <row r="402" spans="1:15" x14ac:dyDescent="0.35">
      <c r="A402" s="59" t="s">
        <v>183</v>
      </c>
      <c r="B402" s="60">
        <v>44759</v>
      </c>
      <c r="C402" s="54">
        <v>118.60322676180698</v>
      </c>
      <c r="D402" s="54">
        <v>118.60322676180698</v>
      </c>
      <c r="E402"/>
      <c r="F402"/>
      <c r="G402" t="e">
        <v>#N/A</v>
      </c>
      <c r="H402" s="54">
        <v>375</v>
      </c>
      <c r="I402" s="54">
        <v>28</v>
      </c>
      <c r="J402" s="54">
        <v>402</v>
      </c>
      <c r="K402" s="54">
        <v>401</v>
      </c>
      <c r="L402" s="54" t="e">
        <v>#N/A</v>
      </c>
      <c r="M402" s="54" t="s">
        <v>156</v>
      </c>
      <c r="N402" s="54" t="s">
        <v>156</v>
      </c>
      <c r="O402" s="54" t="s">
        <v>156</v>
      </c>
    </row>
    <row r="403" spans="1:15" x14ac:dyDescent="0.35">
      <c r="A403" s="59" t="s">
        <v>183</v>
      </c>
      <c r="B403" s="60">
        <v>44766</v>
      </c>
      <c r="C403" s="54">
        <v>97.200912915872749</v>
      </c>
      <c r="D403" s="54">
        <v>97.200912915872749</v>
      </c>
      <c r="E403"/>
      <c r="F403"/>
      <c r="G403" t="e">
        <v>#N/A</v>
      </c>
      <c r="H403" s="54">
        <v>375</v>
      </c>
      <c r="I403" s="54">
        <v>29</v>
      </c>
      <c r="J403" s="54">
        <v>403</v>
      </c>
      <c r="K403" s="54">
        <v>402</v>
      </c>
      <c r="L403" s="54" t="e">
        <v>#N/A</v>
      </c>
      <c r="M403" s="54" t="s">
        <v>156</v>
      </c>
      <c r="N403" s="54" t="s">
        <v>156</v>
      </c>
      <c r="O403" s="54" t="s">
        <v>156</v>
      </c>
    </row>
    <row r="404" spans="1:15" x14ac:dyDescent="0.35">
      <c r="A404" s="59" t="s">
        <v>183</v>
      </c>
      <c r="B404" s="60">
        <v>44773</v>
      </c>
      <c r="C404" s="54">
        <v>101.57402726328374</v>
      </c>
      <c r="D404" s="54">
        <v>101.57402726328374</v>
      </c>
      <c r="E404"/>
      <c r="F404"/>
      <c r="G404" t="e">
        <v>#N/A</v>
      </c>
      <c r="H404" s="54">
        <v>375</v>
      </c>
      <c r="I404" s="54">
        <v>30</v>
      </c>
      <c r="J404" s="54">
        <v>404</v>
      </c>
      <c r="K404" s="54">
        <v>403</v>
      </c>
      <c r="L404" s="54" t="e">
        <v>#N/A</v>
      </c>
      <c r="M404" s="54" t="s">
        <v>156</v>
      </c>
      <c r="N404" s="54" t="s">
        <v>156</v>
      </c>
      <c r="O404" s="54" t="s">
        <v>156</v>
      </c>
    </row>
    <row r="405" spans="1:15" x14ac:dyDescent="0.35">
      <c r="A405" s="59" t="s">
        <v>183</v>
      </c>
      <c r="B405" s="60">
        <v>44780</v>
      </c>
      <c r="C405" s="54">
        <v>93.671404314536701</v>
      </c>
      <c r="D405" s="54">
        <v>93.671404314536701</v>
      </c>
      <c r="E405"/>
      <c r="F405"/>
      <c r="G405" t="e">
        <v>#N/A</v>
      </c>
      <c r="H405" s="54">
        <v>375</v>
      </c>
      <c r="I405" s="54">
        <v>31</v>
      </c>
      <c r="J405" s="54">
        <v>405</v>
      </c>
      <c r="K405" s="54">
        <v>404</v>
      </c>
      <c r="L405" s="54" t="e">
        <v>#N/A</v>
      </c>
      <c r="M405" s="54" t="s">
        <v>156</v>
      </c>
      <c r="N405" s="54" t="s">
        <v>156</v>
      </c>
      <c r="O405" s="54" t="s">
        <v>156</v>
      </c>
    </row>
    <row r="406" spans="1:15" x14ac:dyDescent="0.35">
      <c r="A406" s="59" t="s">
        <v>183</v>
      </c>
      <c r="B406" s="60">
        <v>44787</v>
      </c>
      <c r="C406" s="54">
        <v>141.18426875555565</v>
      </c>
      <c r="D406" s="54">
        <v>141.18426875555565</v>
      </c>
      <c r="E406"/>
      <c r="F406"/>
      <c r="G406" t="e">
        <v>#N/A</v>
      </c>
      <c r="H406" s="54">
        <v>375</v>
      </c>
      <c r="I406" s="54">
        <v>32</v>
      </c>
      <c r="J406" s="54">
        <v>406</v>
      </c>
      <c r="K406" s="54">
        <v>405</v>
      </c>
      <c r="L406" s="54" t="e">
        <v>#N/A</v>
      </c>
      <c r="M406" s="54" t="s">
        <v>156</v>
      </c>
      <c r="N406" s="54" t="s">
        <v>156</v>
      </c>
      <c r="O406" s="54" t="s">
        <v>156</v>
      </c>
    </row>
    <row r="407" spans="1:15" x14ac:dyDescent="0.35">
      <c r="A407" s="59" t="s">
        <v>183</v>
      </c>
      <c r="B407" s="60">
        <v>44794</v>
      </c>
      <c r="C407" s="54">
        <v>102.46760234042543</v>
      </c>
      <c r="D407" s="54">
        <v>102.46760234042543</v>
      </c>
      <c r="E407"/>
      <c r="F407"/>
      <c r="G407" t="e">
        <v>#N/A</v>
      </c>
      <c r="H407" s="54">
        <v>375</v>
      </c>
      <c r="I407" s="54">
        <v>33</v>
      </c>
      <c r="J407" s="54">
        <v>407</v>
      </c>
      <c r="K407" s="54">
        <v>406</v>
      </c>
      <c r="L407" s="54" t="e">
        <v>#N/A</v>
      </c>
      <c r="M407" s="54" t="s">
        <v>156</v>
      </c>
      <c r="N407" s="54" t="s">
        <v>156</v>
      </c>
      <c r="O407" s="54" t="s">
        <v>156</v>
      </c>
    </row>
    <row r="408" spans="1:15" x14ac:dyDescent="0.35">
      <c r="A408" s="59" t="s">
        <v>183</v>
      </c>
      <c r="B408" s="60">
        <v>44801</v>
      </c>
      <c r="C408" s="54">
        <v>80.375566457459968</v>
      </c>
      <c r="D408" s="54">
        <v>80.375566457459968</v>
      </c>
      <c r="E408"/>
      <c r="F408"/>
      <c r="G408" t="e">
        <v>#N/A</v>
      </c>
      <c r="H408" s="54">
        <v>375</v>
      </c>
      <c r="I408" s="54">
        <v>34</v>
      </c>
      <c r="J408" s="54">
        <v>408</v>
      </c>
      <c r="K408" s="54">
        <v>407</v>
      </c>
      <c r="L408" s="54" t="e">
        <v>#N/A</v>
      </c>
      <c r="M408" s="54" t="s">
        <v>156</v>
      </c>
      <c r="N408" s="54" t="s">
        <v>156</v>
      </c>
      <c r="O408" s="54" t="s">
        <v>156</v>
      </c>
    </row>
    <row r="409" spans="1:15" x14ac:dyDescent="0.35">
      <c r="A409" s="59" t="s">
        <v>183</v>
      </c>
      <c r="B409" s="60">
        <v>44808</v>
      </c>
      <c r="C409" s="54">
        <v>116.99122092419066</v>
      </c>
      <c r="D409" s="54">
        <v>116.99122092419066</v>
      </c>
      <c r="E409"/>
      <c r="F409"/>
      <c r="G409" t="e">
        <v>#N/A</v>
      </c>
      <c r="H409" s="54">
        <v>375</v>
      </c>
      <c r="I409" s="54">
        <v>35</v>
      </c>
      <c r="J409" s="54">
        <v>409</v>
      </c>
      <c r="K409" s="54">
        <v>408</v>
      </c>
      <c r="L409" s="54" t="e">
        <v>#N/A</v>
      </c>
      <c r="M409" s="54" t="s">
        <v>156</v>
      </c>
      <c r="N409" s="54" t="s">
        <v>156</v>
      </c>
      <c r="O409" s="54" t="s">
        <v>156</v>
      </c>
    </row>
    <row r="410" spans="1:15" x14ac:dyDescent="0.35">
      <c r="A410" s="59" t="s">
        <v>183</v>
      </c>
      <c r="B410" s="60">
        <v>44815</v>
      </c>
      <c r="C410" s="54">
        <v>75.374006487515359</v>
      </c>
      <c r="D410" s="54">
        <v>75.374006487515359</v>
      </c>
      <c r="E410"/>
      <c r="F410"/>
      <c r="G410" t="e">
        <v>#N/A</v>
      </c>
      <c r="H410" s="54">
        <v>375</v>
      </c>
      <c r="I410" s="54">
        <v>36</v>
      </c>
      <c r="J410" s="54">
        <v>410</v>
      </c>
      <c r="K410" s="54">
        <v>409</v>
      </c>
      <c r="L410" s="54" t="e">
        <v>#N/A</v>
      </c>
      <c r="M410" s="54" t="s">
        <v>156</v>
      </c>
      <c r="N410" s="54" t="s">
        <v>156</v>
      </c>
      <c r="O410" s="54" t="s">
        <v>156</v>
      </c>
    </row>
    <row r="411" spans="1:15" x14ac:dyDescent="0.35">
      <c r="A411" s="59" t="s">
        <v>183</v>
      </c>
      <c r="B411" s="60">
        <v>44822</v>
      </c>
      <c r="C411" s="54">
        <v>103.47694704638681</v>
      </c>
      <c r="D411" s="54">
        <v>103.47694704638681</v>
      </c>
      <c r="E411"/>
      <c r="F411"/>
      <c r="G411" t="e">
        <v>#N/A</v>
      </c>
      <c r="H411" s="54">
        <v>375</v>
      </c>
      <c r="I411" s="54">
        <v>37</v>
      </c>
      <c r="J411" s="54">
        <v>411</v>
      </c>
      <c r="K411" s="54">
        <v>410</v>
      </c>
      <c r="L411" s="54" t="e">
        <v>#N/A</v>
      </c>
      <c r="M411" s="54" t="s">
        <v>156</v>
      </c>
      <c r="N411" s="54" t="s">
        <v>156</v>
      </c>
      <c r="O411" s="54" t="s">
        <v>156</v>
      </c>
    </row>
    <row r="412" spans="1:15" x14ac:dyDescent="0.35">
      <c r="A412" s="59" t="s">
        <v>183</v>
      </c>
      <c r="B412" s="60">
        <v>44829</v>
      </c>
      <c r="C412" s="54">
        <v>59.887761173883447</v>
      </c>
      <c r="D412" s="54">
        <v>59.887761173883447</v>
      </c>
      <c r="E412"/>
      <c r="F412"/>
      <c r="G412" t="e">
        <v>#N/A</v>
      </c>
      <c r="H412" s="54">
        <v>375</v>
      </c>
      <c r="I412" s="54">
        <v>38</v>
      </c>
      <c r="J412" s="54">
        <v>412</v>
      </c>
      <c r="K412" s="54">
        <v>411</v>
      </c>
      <c r="L412" s="54" t="e">
        <v>#N/A</v>
      </c>
      <c r="M412" s="54" t="s">
        <v>156</v>
      </c>
      <c r="N412" s="54" t="s">
        <v>156</v>
      </c>
      <c r="O412" s="54" t="s">
        <v>156</v>
      </c>
    </row>
    <row r="413" spans="1:15" x14ac:dyDescent="0.35">
      <c r="A413" s="59" t="s">
        <v>183</v>
      </c>
      <c r="B413" s="60">
        <v>44836</v>
      </c>
      <c r="C413" s="54">
        <v>72.582101540070312</v>
      </c>
      <c r="D413" s="54">
        <v>72.582101540070312</v>
      </c>
      <c r="E413"/>
      <c r="F413"/>
      <c r="G413" t="e">
        <v>#N/A</v>
      </c>
      <c r="H413" s="54">
        <v>375</v>
      </c>
      <c r="I413" s="54">
        <v>39</v>
      </c>
      <c r="J413" s="54">
        <v>413</v>
      </c>
      <c r="K413" s="54">
        <v>412</v>
      </c>
      <c r="L413" s="54" t="e">
        <v>#N/A</v>
      </c>
      <c r="M413" s="54" t="s">
        <v>156</v>
      </c>
      <c r="N413" s="54" t="s">
        <v>156</v>
      </c>
      <c r="O413" s="54" t="s">
        <v>156</v>
      </c>
    </row>
    <row r="414" spans="1:15" x14ac:dyDescent="0.35">
      <c r="A414" s="59" t="s">
        <v>183</v>
      </c>
      <c r="B414" s="60">
        <v>44843</v>
      </c>
      <c r="C414" s="54">
        <v>103.43722471738246</v>
      </c>
      <c r="D414" s="54">
        <v>103.43722471738246</v>
      </c>
      <c r="E414"/>
      <c r="F414"/>
      <c r="G414" t="e">
        <v>#N/A</v>
      </c>
      <c r="H414" s="54">
        <v>375</v>
      </c>
      <c r="I414" s="54">
        <v>40</v>
      </c>
      <c r="J414" s="54">
        <v>414</v>
      </c>
      <c r="K414" s="54">
        <v>413</v>
      </c>
      <c r="L414" s="54" t="e">
        <v>#N/A</v>
      </c>
      <c r="M414" s="54" t="s">
        <v>156</v>
      </c>
      <c r="N414" s="54" t="s">
        <v>156</v>
      </c>
      <c r="O414" s="54" t="s">
        <v>156</v>
      </c>
    </row>
    <row r="415" spans="1:15" x14ac:dyDescent="0.35">
      <c r="A415" s="59" t="s">
        <v>183</v>
      </c>
      <c r="B415" s="60">
        <v>44850</v>
      </c>
      <c r="C415" s="54">
        <v>114.91515411794714</v>
      </c>
      <c r="D415" s="54">
        <v>114.91515411794714</v>
      </c>
      <c r="E415"/>
      <c r="F415"/>
      <c r="G415" t="e">
        <v>#N/A</v>
      </c>
      <c r="H415" s="54">
        <v>375</v>
      </c>
      <c r="I415" s="54">
        <v>41</v>
      </c>
      <c r="J415" s="54">
        <v>415</v>
      </c>
      <c r="K415" s="54">
        <v>414</v>
      </c>
      <c r="L415" s="54" t="e">
        <v>#N/A</v>
      </c>
      <c r="M415" s="54" t="s">
        <v>156</v>
      </c>
      <c r="N415" s="54" t="s">
        <v>156</v>
      </c>
      <c r="O415" s="54" t="s">
        <v>156</v>
      </c>
    </row>
    <row r="416" spans="1:15" x14ac:dyDescent="0.35">
      <c r="A416" s="59" t="s">
        <v>183</v>
      </c>
      <c r="B416" s="60">
        <v>44857</v>
      </c>
      <c r="C416" s="54">
        <v>104.50852927527836</v>
      </c>
      <c r="D416" s="54">
        <v>104.50852927527836</v>
      </c>
      <c r="E416"/>
      <c r="F416"/>
      <c r="G416" t="e">
        <v>#N/A</v>
      </c>
      <c r="H416" s="54">
        <v>375</v>
      </c>
      <c r="I416" s="54">
        <v>42</v>
      </c>
      <c r="J416" s="54">
        <v>416</v>
      </c>
      <c r="K416" s="54">
        <v>415</v>
      </c>
      <c r="L416" s="54" t="e">
        <v>#N/A</v>
      </c>
      <c r="M416" s="54" t="s">
        <v>156</v>
      </c>
      <c r="N416" s="54" t="s">
        <v>156</v>
      </c>
      <c r="O416" s="54" t="s">
        <v>156</v>
      </c>
    </row>
    <row r="417" spans="1:15" x14ac:dyDescent="0.35">
      <c r="A417" s="59" t="s">
        <v>183</v>
      </c>
      <c r="B417" s="60">
        <v>44864</v>
      </c>
      <c r="C417" s="54">
        <v>99.986709498526892</v>
      </c>
      <c r="D417" s="54">
        <v>99.986709498526892</v>
      </c>
      <c r="E417"/>
      <c r="F417"/>
      <c r="G417" t="e">
        <v>#N/A</v>
      </c>
      <c r="H417" s="54">
        <v>375</v>
      </c>
      <c r="I417" s="54">
        <v>43</v>
      </c>
      <c r="J417" s="54">
        <v>417</v>
      </c>
      <c r="K417" s="54">
        <v>416</v>
      </c>
      <c r="L417" s="54" t="e">
        <v>#N/A</v>
      </c>
      <c r="M417" s="54" t="s">
        <v>156</v>
      </c>
      <c r="N417" s="54" t="s">
        <v>156</v>
      </c>
      <c r="O417" s="54" t="s">
        <v>156</v>
      </c>
    </row>
    <row r="418" spans="1:15" x14ac:dyDescent="0.35">
      <c r="A418" s="59" t="s">
        <v>183</v>
      </c>
      <c r="B418" s="60">
        <v>44871</v>
      </c>
      <c r="C418" s="54">
        <v>97.768805575150012</v>
      </c>
      <c r="D418" s="54">
        <v>97.768805575150012</v>
      </c>
      <c r="E418"/>
      <c r="F418"/>
      <c r="G418" t="e">
        <v>#N/A</v>
      </c>
      <c r="H418" s="54">
        <v>375</v>
      </c>
      <c r="I418" s="54">
        <v>44</v>
      </c>
      <c r="J418" s="54">
        <v>418</v>
      </c>
      <c r="K418" s="54">
        <v>417</v>
      </c>
      <c r="L418" s="54" t="e">
        <v>#N/A</v>
      </c>
      <c r="M418" s="54" t="s">
        <v>156</v>
      </c>
      <c r="N418" s="54" t="s">
        <v>156</v>
      </c>
      <c r="O418" s="54" t="s">
        <v>156</v>
      </c>
    </row>
    <row r="419" spans="1:15" x14ac:dyDescent="0.35">
      <c r="A419" s="59" t="s">
        <v>183</v>
      </c>
      <c r="B419" s="60">
        <v>44878</v>
      </c>
      <c r="C419" s="54">
        <v>75.969882874778307</v>
      </c>
      <c r="D419" s="54">
        <v>75.969882874778307</v>
      </c>
      <c r="E419"/>
      <c r="F419"/>
      <c r="G419" t="e">
        <v>#N/A</v>
      </c>
      <c r="H419" s="54">
        <v>375</v>
      </c>
      <c r="I419" s="54">
        <v>45</v>
      </c>
      <c r="J419" s="54">
        <v>419</v>
      </c>
      <c r="K419" s="54">
        <v>418</v>
      </c>
      <c r="L419" s="54" t="e">
        <v>#N/A</v>
      </c>
      <c r="M419" s="54" t="s">
        <v>156</v>
      </c>
      <c r="N419" s="54" t="s">
        <v>156</v>
      </c>
      <c r="O419" s="54" t="s">
        <v>156</v>
      </c>
    </row>
    <row r="420" spans="1:15" x14ac:dyDescent="0.35">
      <c r="A420" s="59" t="s">
        <v>183</v>
      </c>
      <c r="B420" s="60">
        <v>44885</v>
      </c>
      <c r="C420" s="54">
        <v>93.132900868683805</v>
      </c>
      <c r="D420" s="54">
        <v>93.132900868683805</v>
      </c>
      <c r="E420"/>
      <c r="F420"/>
      <c r="G420" t="e">
        <v>#N/A</v>
      </c>
      <c r="H420" s="54">
        <v>375</v>
      </c>
      <c r="I420" s="54">
        <v>46</v>
      </c>
      <c r="J420" s="54">
        <v>420</v>
      </c>
      <c r="K420" s="54">
        <v>419</v>
      </c>
      <c r="L420" s="54" t="e">
        <v>#N/A</v>
      </c>
      <c r="M420" s="54" t="s">
        <v>156</v>
      </c>
      <c r="N420" s="54" t="s">
        <v>156</v>
      </c>
      <c r="O420" s="54" t="s">
        <v>156</v>
      </c>
    </row>
    <row r="421" spans="1:15" x14ac:dyDescent="0.35">
      <c r="A421" s="59" t="s">
        <v>183</v>
      </c>
      <c r="B421" s="60">
        <v>44892</v>
      </c>
      <c r="C421" s="54">
        <v>100.52477141598834</v>
      </c>
      <c r="D421" s="54">
        <v>100.52477141598834</v>
      </c>
      <c r="E421"/>
      <c r="F421"/>
      <c r="G421" t="e">
        <v>#N/A</v>
      </c>
      <c r="H421" s="54">
        <v>375</v>
      </c>
      <c r="I421" s="54">
        <v>47</v>
      </c>
      <c r="J421" s="54">
        <v>421</v>
      </c>
      <c r="K421" s="54">
        <v>420</v>
      </c>
      <c r="L421" s="54" t="e">
        <v>#N/A</v>
      </c>
      <c r="M421" s="54" t="s">
        <v>156</v>
      </c>
      <c r="N421" s="54" t="s">
        <v>156</v>
      </c>
      <c r="O421" s="54" t="s">
        <v>156</v>
      </c>
    </row>
    <row r="422" spans="1:15" x14ac:dyDescent="0.35">
      <c r="A422" s="59" t="s">
        <v>183</v>
      </c>
      <c r="B422" s="60">
        <v>44899</v>
      </c>
      <c r="C422" s="54">
        <v>133.28114958975519</v>
      </c>
      <c r="D422" s="54">
        <v>133.28114958975519</v>
      </c>
      <c r="E422"/>
      <c r="F422"/>
      <c r="G422" t="e">
        <v>#N/A</v>
      </c>
      <c r="H422" s="54">
        <v>375</v>
      </c>
      <c r="I422" s="54">
        <v>48</v>
      </c>
      <c r="J422" s="54">
        <v>422</v>
      </c>
      <c r="K422" s="54">
        <v>421</v>
      </c>
      <c r="L422" s="54" t="e">
        <v>#N/A</v>
      </c>
      <c r="M422" s="54" t="s">
        <v>156</v>
      </c>
      <c r="N422" s="54" t="s">
        <v>156</v>
      </c>
      <c r="O422" s="54" t="s">
        <v>156</v>
      </c>
    </row>
    <row r="423" spans="1:15" x14ac:dyDescent="0.35">
      <c r="A423" s="59" t="s">
        <v>183</v>
      </c>
      <c r="B423" s="60">
        <v>44906</v>
      </c>
      <c r="C423" s="54">
        <v>121.57790235049386</v>
      </c>
      <c r="D423" s="54">
        <v>121.57790235049386</v>
      </c>
      <c r="E423"/>
      <c r="F423"/>
      <c r="G423" t="e">
        <v>#N/A</v>
      </c>
      <c r="H423" s="54">
        <v>375</v>
      </c>
      <c r="I423" s="54">
        <v>49</v>
      </c>
      <c r="J423" s="54">
        <v>423</v>
      </c>
      <c r="K423" s="54">
        <v>422</v>
      </c>
      <c r="L423" s="54" t="e">
        <v>#N/A</v>
      </c>
      <c r="M423" s="54" t="s">
        <v>156</v>
      </c>
      <c r="N423" s="54" t="s">
        <v>156</v>
      </c>
      <c r="O423" s="54" t="s">
        <v>156</v>
      </c>
    </row>
    <row r="424" spans="1:15" x14ac:dyDescent="0.35">
      <c r="A424" s="59" t="s">
        <v>183</v>
      </c>
      <c r="B424" s="60">
        <v>44913</v>
      </c>
      <c r="C424" s="54">
        <v>82.147099151894594</v>
      </c>
      <c r="D424" s="54">
        <v>82.147099151894594</v>
      </c>
      <c r="E424"/>
      <c r="F424"/>
      <c r="G424" t="e">
        <v>#N/A</v>
      </c>
      <c r="H424" s="54">
        <v>375</v>
      </c>
      <c r="I424" s="54">
        <v>50</v>
      </c>
      <c r="J424" s="54">
        <v>424</v>
      </c>
      <c r="K424" s="54">
        <v>423</v>
      </c>
      <c r="L424" s="54" t="e">
        <v>#N/A</v>
      </c>
      <c r="M424" s="54" t="s">
        <v>156</v>
      </c>
      <c r="N424" s="54" t="s">
        <v>156</v>
      </c>
      <c r="O424" s="54" t="s">
        <v>156</v>
      </c>
    </row>
    <row r="425" spans="1:15" x14ac:dyDescent="0.35">
      <c r="A425" s="59" t="s">
        <v>183</v>
      </c>
      <c r="B425" s="60">
        <v>44920</v>
      </c>
      <c r="C425" s="54">
        <v>126.69536610214473</v>
      </c>
      <c r="D425" s="54">
        <v>126.69536610214473</v>
      </c>
      <c r="E425"/>
      <c r="F425"/>
      <c r="G425" t="e">
        <v>#N/A</v>
      </c>
      <c r="H425" s="54">
        <v>375</v>
      </c>
      <c r="I425" s="54">
        <v>51</v>
      </c>
      <c r="J425" s="54">
        <v>425</v>
      </c>
      <c r="K425" s="54">
        <v>424</v>
      </c>
      <c r="L425" s="54" t="e">
        <v>#N/A</v>
      </c>
      <c r="M425" s="54" t="s">
        <v>156</v>
      </c>
      <c r="N425" s="54" t="s">
        <v>156</v>
      </c>
      <c r="O425" s="54" t="s">
        <v>156</v>
      </c>
    </row>
    <row r="426" spans="1:15" x14ac:dyDescent="0.35">
      <c r="A426" s="59" t="s">
        <v>183</v>
      </c>
      <c r="B426" s="60">
        <v>44927</v>
      </c>
      <c r="C426" s="54">
        <v>115.3876207865672</v>
      </c>
      <c r="D426" s="54">
        <v>115.3876207865672</v>
      </c>
      <c r="E426"/>
      <c r="F426"/>
      <c r="G426" t="e">
        <v>#N/A</v>
      </c>
      <c r="H426" s="54">
        <v>375</v>
      </c>
      <c r="I426" s="54">
        <v>52</v>
      </c>
      <c r="J426" s="54">
        <v>426</v>
      </c>
      <c r="K426" s="54">
        <v>425</v>
      </c>
      <c r="L426" s="54" t="e">
        <v>#N/A</v>
      </c>
      <c r="M426" s="54" t="s">
        <v>156</v>
      </c>
      <c r="N426" s="54" t="s">
        <v>156</v>
      </c>
      <c r="O426" s="54" t="s">
        <v>156</v>
      </c>
    </row>
    <row r="427" spans="1:15" x14ac:dyDescent="0.35">
      <c r="A427" s="59" t="s">
        <v>183</v>
      </c>
      <c r="B427" s="60">
        <v>44934</v>
      </c>
      <c r="C427" s="54">
        <v>112.46155999388084</v>
      </c>
      <c r="D427" s="54">
        <v>112.46155999388084</v>
      </c>
      <c r="E427"/>
      <c r="F427"/>
      <c r="G427" t="e">
        <v>#N/A</v>
      </c>
      <c r="H427" s="54">
        <v>375</v>
      </c>
      <c r="I427" s="54">
        <v>53</v>
      </c>
      <c r="J427" s="54">
        <v>427</v>
      </c>
      <c r="K427" s="54">
        <v>426</v>
      </c>
      <c r="L427" s="54" t="e">
        <v>#N/A</v>
      </c>
      <c r="M427" s="54" t="s">
        <v>156</v>
      </c>
      <c r="N427" s="54" t="s">
        <v>156</v>
      </c>
      <c r="O427" s="54" t="s">
        <v>156</v>
      </c>
    </row>
    <row r="428" spans="1:15" x14ac:dyDescent="0.35">
      <c r="A428" s="59" t="s">
        <v>183</v>
      </c>
      <c r="B428" s="60">
        <v>44941</v>
      </c>
      <c r="C428" s="54">
        <v>141.1442593819238</v>
      </c>
      <c r="D428" s="54">
        <v>141.1442593819238</v>
      </c>
      <c r="E428"/>
      <c r="F428"/>
      <c r="G428" t="e">
        <v>#N/A</v>
      </c>
      <c r="H428" s="54">
        <v>375</v>
      </c>
      <c r="I428" s="54">
        <v>54</v>
      </c>
      <c r="J428" s="54">
        <v>428</v>
      </c>
      <c r="K428" s="54">
        <v>427</v>
      </c>
      <c r="L428" s="54" t="e">
        <v>#N/A</v>
      </c>
      <c r="M428" s="54" t="s">
        <v>156</v>
      </c>
      <c r="N428" s="54" t="s">
        <v>156</v>
      </c>
      <c r="O428" s="54" t="s">
        <v>156</v>
      </c>
    </row>
    <row r="429" spans="1:15" x14ac:dyDescent="0.35">
      <c r="A429" s="59" t="s">
        <v>183</v>
      </c>
      <c r="B429" s="60">
        <v>44948</v>
      </c>
      <c r="C429" s="54">
        <v>152.40630373567015</v>
      </c>
      <c r="D429" s="54">
        <v>152.40630373567015</v>
      </c>
      <c r="E429"/>
      <c r="F429"/>
      <c r="G429" t="e">
        <v>#N/A</v>
      </c>
      <c r="H429" s="54">
        <v>375</v>
      </c>
      <c r="I429" s="54">
        <v>55</v>
      </c>
      <c r="J429" s="54">
        <v>429</v>
      </c>
      <c r="K429" s="54">
        <v>428</v>
      </c>
      <c r="L429" s="54" t="e">
        <v>#N/A</v>
      </c>
      <c r="M429" s="54" t="s">
        <v>156</v>
      </c>
      <c r="N429" s="54" t="s">
        <v>156</v>
      </c>
      <c r="O429" s="54" t="s">
        <v>156</v>
      </c>
    </row>
    <row r="430" spans="1:15" x14ac:dyDescent="0.35">
      <c r="A430" s="59" t="s">
        <v>183</v>
      </c>
      <c r="B430" s="60">
        <v>44955</v>
      </c>
      <c r="C430" s="54">
        <v>153.21770012317467</v>
      </c>
      <c r="D430" s="54">
        <v>153.21770012317467</v>
      </c>
      <c r="E430"/>
      <c r="F430"/>
      <c r="G430" t="e">
        <v>#N/A</v>
      </c>
      <c r="H430" s="54">
        <v>375</v>
      </c>
      <c r="I430" s="54">
        <v>56</v>
      </c>
      <c r="J430" s="54">
        <v>430</v>
      </c>
      <c r="K430" s="54">
        <v>429</v>
      </c>
      <c r="L430" s="54" t="e">
        <v>#N/A</v>
      </c>
      <c r="M430" s="54" t="s">
        <v>156</v>
      </c>
      <c r="N430" s="54" t="s">
        <v>156</v>
      </c>
      <c r="O430" s="54" t="s">
        <v>156</v>
      </c>
    </row>
    <row r="431" spans="1:15" x14ac:dyDescent="0.35">
      <c r="A431" s="59" t="s">
        <v>183</v>
      </c>
      <c r="B431" s="60">
        <v>44962</v>
      </c>
      <c r="C431" s="54">
        <v>120.51011297642258</v>
      </c>
      <c r="D431" s="54">
        <v>120.51011297642258</v>
      </c>
      <c r="E431"/>
      <c r="F431"/>
      <c r="G431" t="e">
        <v>#N/A</v>
      </c>
      <c r="H431" s="54">
        <v>375</v>
      </c>
      <c r="I431" s="54">
        <v>57</v>
      </c>
      <c r="J431" s="54">
        <v>431</v>
      </c>
      <c r="K431" s="54">
        <v>430</v>
      </c>
      <c r="L431" s="54" t="e">
        <v>#N/A</v>
      </c>
      <c r="M431" s="54" t="s">
        <v>156</v>
      </c>
      <c r="N431" s="54" t="s">
        <v>156</v>
      </c>
      <c r="O431" s="54" t="s">
        <v>156</v>
      </c>
    </row>
    <row r="432" spans="1:15" x14ac:dyDescent="0.35">
      <c r="A432" s="59" t="s">
        <v>183</v>
      </c>
      <c r="B432" s="60">
        <v>44969</v>
      </c>
      <c r="C432" s="54">
        <v>133.67704741759883</v>
      </c>
      <c r="D432" s="54">
        <v>133.67704741759883</v>
      </c>
      <c r="E432"/>
      <c r="F432"/>
      <c r="G432" t="e">
        <v>#N/A</v>
      </c>
      <c r="H432" s="54">
        <v>375</v>
      </c>
      <c r="I432" s="54">
        <v>58</v>
      </c>
      <c r="J432" s="54">
        <v>432</v>
      </c>
      <c r="K432" s="54">
        <v>431</v>
      </c>
      <c r="L432" s="54" t="e">
        <v>#N/A</v>
      </c>
      <c r="M432" s="54" t="s">
        <v>156</v>
      </c>
      <c r="N432" s="54" t="s">
        <v>156</v>
      </c>
      <c r="O432" s="54" t="s">
        <v>156</v>
      </c>
    </row>
    <row r="433" spans="1:15" x14ac:dyDescent="0.35">
      <c r="A433" s="59" t="s">
        <v>183</v>
      </c>
      <c r="B433" s="60">
        <v>44976</v>
      </c>
      <c r="C433" s="54">
        <v>148.88772179288716</v>
      </c>
      <c r="D433" s="54">
        <v>148.88772179288716</v>
      </c>
      <c r="E433"/>
      <c r="F433"/>
      <c r="G433" t="e">
        <v>#N/A</v>
      </c>
      <c r="H433" s="54">
        <v>375</v>
      </c>
      <c r="I433" s="54">
        <v>59</v>
      </c>
      <c r="J433" s="54">
        <v>433</v>
      </c>
      <c r="K433" s="54">
        <v>432</v>
      </c>
      <c r="L433" s="54" t="e">
        <v>#N/A</v>
      </c>
      <c r="M433" s="54" t="s">
        <v>156</v>
      </c>
      <c r="N433" s="54" t="s">
        <v>156</v>
      </c>
      <c r="O433" s="54" t="s">
        <v>156</v>
      </c>
    </row>
    <row r="434" spans="1:15" x14ac:dyDescent="0.35">
      <c r="A434" s="59" t="s">
        <v>183</v>
      </c>
      <c r="B434" s="60">
        <v>44983</v>
      </c>
      <c r="C434" s="54">
        <v>163.98111750586921</v>
      </c>
      <c r="D434" s="54">
        <v>163.98111750586921</v>
      </c>
      <c r="E434"/>
      <c r="F434"/>
      <c r="G434" t="e">
        <v>#N/A</v>
      </c>
      <c r="H434" s="54">
        <v>375</v>
      </c>
      <c r="I434" s="54">
        <v>60</v>
      </c>
      <c r="J434" s="54">
        <v>434</v>
      </c>
      <c r="K434" s="54">
        <v>433</v>
      </c>
      <c r="L434" s="54" t="e">
        <v>#N/A</v>
      </c>
      <c r="M434" s="54" t="s">
        <v>156</v>
      </c>
      <c r="N434" s="54" t="s">
        <v>156</v>
      </c>
      <c r="O434" s="54" t="s">
        <v>156</v>
      </c>
    </row>
    <row r="435" spans="1:15" x14ac:dyDescent="0.35">
      <c r="A435" s="59" t="s">
        <v>183</v>
      </c>
      <c r="B435" s="60">
        <v>44990</v>
      </c>
      <c r="C435" s="54">
        <v>136.87619256096733</v>
      </c>
      <c r="D435" s="54">
        <v>136.87619256096733</v>
      </c>
      <c r="E435"/>
      <c r="F435"/>
      <c r="G435" t="e">
        <v>#N/A</v>
      </c>
      <c r="H435" s="54">
        <v>375</v>
      </c>
      <c r="I435" s="54">
        <v>61</v>
      </c>
      <c r="J435" s="54">
        <v>435</v>
      </c>
      <c r="K435" s="54">
        <v>434</v>
      </c>
      <c r="L435" s="54" t="e">
        <v>#N/A</v>
      </c>
      <c r="M435" s="54" t="s">
        <v>156</v>
      </c>
      <c r="N435" s="54" t="s">
        <v>156</v>
      </c>
      <c r="O435" s="54" t="s">
        <v>156</v>
      </c>
    </row>
    <row r="436" spans="1:15" x14ac:dyDescent="0.35">
      <c r="A436" s="59" t="s">
        <v>183</v>
      </c>
      <c r="B436" s="60">
        <v>44997</v>
      </c>
      <c r="C436" s="54">
        <v>144.49594097978786</v>
      </c>
      <c r="D436" s="54">
        <v>144.49594097978786</v>
      </c>
      <c r="E436"/>
      <c r="F436"/>
      <c r="G436" t="e">
        <v>#N/A</v>
      </c>
      <c r="H436" s="54">
        <v>375</v>
      </c>
      <c r="I436" s="54">
        <v>62</v>
      </c>
      <c r="J436" s="54">
        <v>436</v>
      </c>
      <c r="K436" s="54">
        <v>435</v>
      </c>
      <c r="L436" s="54" t="e">
        <v>#N/A</v>
      </c>
      <c r="M436" s="54" t="s">
        <v>156</v>
      </c>
      <c r="N436" s="54" t="s">
        <v>156</v>
      </c>
      <c r="O436" s="54" t="s">
        <v>156</v>
      </c>
    </row>
    <row r="437" spans="1:15" x14ac:dyDescent="0.35">
      <c r="A437" s="59" t="s">
        <v>183</v>
      </c>
      <c r="B437" s="60">
        <v>45004</v>
      </c>
      <c r="C437" s="54">
        <v>127.57362537358775</v>
      </c>
      <c r="D437" s="54">
        <v>127.57362537358775</v>
      </c>
      <c r="E437"/>
      <c r="F437"/>
      <c r="G437" t="e">
        <v>#N/A</v>
      </c>
      <c r="H437" s="54">
        <v>375</v>
      </c>
      <c r="I437" s="54">
        <v>63</v>
      </c>
      <c r="J437" s="54">
        <v>437</v>
      </c>
      <c r="K437" s="54">
        <v>436</v>
      </c>
      <c r="L437" s="54" t="e">
        <v>#N/A</v>
      </c>
      <c r="M437" s="54" t="s">
        <v>156</v>
      </c>
      <c r="N437" s="54" t="s">
        <v>156</v>
      </c>
      <c r="O437" s="54" t="s">
        <v>156</v>
      </c>
    </row>
    <row r="438" spans="1:15" x14ac:dyDescent="0.35">
      <c r="A438" s="59" t="s">
        <v>183</v>
      </c>
      <c r="B438" s="60">
        <v>45011</v>
      </c>
      <c r="C438" s="54">
        <v>126.99470386690763</v>
      </c>
      <c r="D438" s="54">
        <v>126.99470386690763</v>
      </c>
      <c r="E438"/>
      <c r="F438"/>
      <c r="G438" t="e">
        <v>#N/A</v>
      </c>
      <c r="H438" s="54">
        <v>375</v>
      </c>
      <c r="I438" s="54">
        <v>64</v>
      </c>
      <c r="J438" s="54">
        <v>438</v>
      </c>
      <c r="K438" s="54">
        <v>437</v>
      </c>
      <c r="L438" s="54" t="e">
        <v>#N/A</v>
      </c>
      <c r="M438" s="54" t="s">
        <v>156</v>
      </c>
      <c r="N438" s="54" t="s">
        <v>156</v>
      </c>
      <c r="O438" s="54" t="s">
        <v>156</v>
      </c>
    </row>
    <row r="439" spans="1:15" x14ac:dyDescent="0.35">
      <c r="A439" s="59" t="s">
        <v>183</v>
      </c>
      <c r="B439" s="60">
        <v>45018</v>
      </c>
      <c r="C439" s="54">
        <v>168.10469392984504</v>
      </c>
      <c r="D439" s="54">
        <v>168.10469392984504</v>
      </c>
      <c r="E439"/>
      <c r="F439"/>
      <c r="G439" t="e">
        <v>#N/A</v>
      </c>
      <c r="H439" s="54">
        <v>375</v>
      </c>
      <c r="I439" s="54">
        <v>65</v>
      </c>
      <c r="J439" s="54">
        <v>439</v>
      </c>
      <c r="K439" s="54">
        <v>438</v>
      </c>
      <c r="L439" s="54" t="e">
        <v>#N/A</v>
      </c>
      <c r="M439" s="54" t="s">
        <v>156</v>
      </c>
      <c r="N439" s="54" t="s">
        <v>156</v>
      </c>
      <c r="O439" s="54" t="s">
        <v>156</v>
      </c>
    </row>
    <row r="440" spans="1:15" x14ac:dyDescent="0.35">
      <c r="A440" s="59" t="s">
        <v>183</v>
      </c>
      <c r="B440" s="60">
        <v>45025</v>
      </c>
      <c r="C440" s="54">
        <v>179.62480057141647</v>
      </c>
      <c r="D440" s="54">
        <v>179.62480057141647</v>
      </c>
      <c r="E440"/>
      <c r="F440"/>
      <c r="G440" t="e">
        <v>#N/A</v>
      </c>
      <c r="H440" s="54">
        <v>375</v>
      </c>
      <c r="I440" s="54">
        <v>66</v>
      </c>
      <c r="J440" s="54">
        <v>440</v>
      </c>
      <c r="K440" s="54">
        <v>439</v>
      </c>
      <c r="L440" s="54" t="e">
        <v>#N/A</v>
      </c>
      <c r="M440" s="54" t="s">
        <v>156</v>
      </c>
      <c r="N440" s="54" t="s">
        <v>156</v>
      </c>
      <c r="O440" s="54" t="s">
        <v>156</v>
      </c>
    </row>
    <row r="441" spans="1:15" x14ac:dyDescent="0.35">
      <c r="A441" s="59" t="s">
        <v>183</v>
      </c>
      <c r="B441" s="60">
        <v>45032</v>
      </c>
      <c r="C441" s="54">
        <v>151.4139750503544</v>
      </c>
      <c r="D441" s="54">
        <v>151.4139750503544</v>
      </c>
      <c r="E441"/>
      <c r="F441"/>
      <c r="G441" t="e">
        <v>#N/A</v>
      </c>
      <c r="H441" s="54">
        <v>375</v>
      </c>
      <c r="I441" s="54">
        <v>67</v>
      </c>
      <c r="J441" s="54">
        <v>441</v>
      </c>
      <c r="K441" s="54">
        <v>440</v>
      </c>
      <c r="L441" s="54" t="e">
        <v>#N/A</v>
      </c>
      <c r="M441" s="54" t="s">
        <v>156</v>
      </c>
      <c r="N441" s="54" t="s">
        <v>156</v>
      </c>
      <c r="O441" s="54" t="s">
        <v>156</v>
      </c>
    </row>
    <row r="442" spans="1:15" x14ac:dyDescent="0.35">
      <c r="A442" s="59" t="s">
        <v>183</v>
      </c>
      <c r="B442" s="60">
        <v>45039</v>
      </c>
      <c r="C442" s="54">
        <v>172.98949430636151</v>
      </c>
      <c r="D442" s="54">
        <v>172.98949430636151</v>
      </c>
      <c r="E442"/>
      <c r="F442"/>
      <c r="G442" t="e">
        <v>#N/A</v>
      </c>
      <c r="H442" s="54">
        <v>375</v>
      </c>
      <c r="I442" s="54">
        <v>68</v>
      </c>
      <c r="J442" s="54">
        <v>442</v>
      </c>
      <c r="K442" s="54">
        <v>441</v>
      </c>
      <c r="L442" s="54" t="e">
        <v>#N/A</v>
      </c>
      <c r="M442" s="54" t="s">
        <v>156</v>
      </c>
      <c r="N442" s="54" t="s">
        <v>156</v>
      </c>
      <c r="O442" s="54" t="s">
        <v>156</v>
      </c>
    </row>
    <row r="443" spans="1:15" x14ac:dyDescent="0.35">
      <c r="A443" s="59" t="s">
        <v>183</v>
      </c>
      <c r="B443" s="60">
        <v>45046</v>
      </c>
      <c r="C443" s="54">
        <v>159.933045354661</v>
      </c>
      <c r="D443" s="54">
        <v>159.933045354661</v>
      </c>
      <c r="E443"/>
      <c r="F443"/>
      <c r="G443" t="e">
        <v>#N/A</v>
      </c>
      <c r="H443" s="54">
        <v>375</v>
      </c>
      <c r="I443" s="54">
        <v>69</v>
      </c>
      <c r="J443" s="54">
        <v>443</v>
      </c>
      <c r="K443" s="54">
        <v>442</v>
      </c>
      <c r="L443" s="54" t="e">
        <v>#N/A</v>
      </c>
      <c r="M443" s="54" t="s">
        <v>156</v>
      </c>
      <c r="N443" s="54" t="s">
        <v>156</v>
      </c>
      <c r="O443" s="54" t="s">
        <v>156</v>
      </c>
    </row>
    <row r="444" spans="1:15" x14ac:dyDescent="0.35">
      <c r="A444" s="59" t="s">
        <v>183</v>
      </c>
      <c r="B444" s="60">
        <v>45053</v>
      </c>
      <c r="C444" s="54">
        <v>139.3067254209617</v>
      </c>
      <c r="D444" s="54">
        <v>139.3067254209617</v>
      </c>
      <c r="E444"/>
      <c r="F444"/>
      <c r="G444" t="e">
        <v>#N/A</v>
      </c>
      <c r="H444" s="54">
        <v>375</v>
      </c>
      <c r="I444" s="54">
        <v>70</v>
      </c>
      <c r="J444" s="54">
        <v>444</v>
      </c>
      <c r="K444" s="54">
        <v>443</v>
      </c>
      <c r="L444" s="54" t="e">
        <v>#N/A</v>
      </c>
      <c r="M444" s="54" t="s">
        <v>156</v>
      </c>
      <c r="N444" s="54" t="s">
        <v>156</v>
      </c>
      <c r="O444" s="54" t="s">
        <v>156</v>
      </c>
    </row>
    <row r="445" spans="1:15" x14ac:dyDescent="0.35">
      <c r="A445" s="59" t="s">
        <v>183</v>
      </c>
      <c r="B445" s="60">
        <v>45060</v>
      </c>
      <c r="C445" s="54">
        <v>158.68758942804143</v>
      </c>
      <c r="D445" s="54">
        <v>158.68758942804143</v>
      </c>
      <c r="E445"/>
      <c r="F445"/>
      <c r="G445" t="e">
        <v>#N/A</v>
      </c>
      <c r="H445" s="54">
        <v>375</v>
      </c>
      <c r="I445" s="54">
        <v>71</v>
      </c>
      <c r="J445" s="54">
        <v>445</v>
      </c>
      <c r="K445" s="54">
        <v>444</v>
      </c>
      <c r="L445" s="54" t="e">
        <v>#N/A</v>
      </c>
      <c r="M445" s="54" t="s">
        <v>156</v>
      </c>
      <c r="N445" s="54" t="s">
        <v>156</v>
      </c>
      <c r="O445" s="54" t="s">
        <v>156</v>
      </c>
    </row>
    <row r="446" spans="1:15" x14ac:dyDescent="0.35">
      <c r="A446" s="59" t="s">
        <v>183</v>
      </c>
      <c r="B446" s="60">
        <v>45067</v>
      </c>
      <c r="C446" s="54">
        <v>181.23094629274141</v>
      </c>
      <c r="D446" s="54">
        <v>181.23094629274141</v>
      </c>
      <c r="E446"/>
      <c r="F446"/>
      <c r="G446" t="e">
        <v>#N/A</v>
      </c>
      <c r="H446" s="54">
        <v>375</v>
      </c>
      <c r="I446" s="54">
        <v>72</v>
      </c>
      <c r="J446" s="54">
        <v>446</v>
      </c>
      <c r="K446" s="54">
        <v>445</v>
      </c>
      <c r="L446" s="54" t="e">
        <v>#N/A</v>
      </c>
      <c r="M446" s="54" t="s">
        <v>156</v>
      </c>
      <c r="N446" s="54" t="s">
        <v>156</v>
      </c>
      <c r="O446" s="54" t="s">
        <v>156</v>
      </c>
    </row>
    <row r="447" spans="1:15" x14ac:dyDescent="0.35">
      <c r="A447" s="59" t="s">
        <v>183</v>
      </c>
      <c r="B447" s="60">
        <v>45074</v>
      </c>
      <c r="C447" s="54">
        <v>148.54593238261688</v>
      </c>
      <c r="D447" s="54">
        <v>148.54593238261688</v>
      </c>
      <c r="E447"/>
      <c r="F447"/>
      <c r="G447" t="e">
        <v>#N/A</v>
      </c>
      <c r="H447" s="54">
        <v>375</v>
      </c>
      <c r="I447" s="54">
        <v>73</v>
      </c>
      <c r="J447" s="54">
        <v>447</v>
      </c>
      <c r="K447" s="54">
        <v>446</v>
      </c>
      <c r="L447" s="54" t="e">
        <v>#N/A</v>
      </c>
      <c r="M447" s="54" t="s">
        <v>156</v>
      </c>
      <c r="N447" s="54" t="s">
        <v>156</v>
      </c>
      <c r="O447" s="54" t="s">
        <v>156</v>
      </c>
    </row>
    <row r="448" spans="1:15" x14ac:dyDescent="0.35">
      <c r="A448" s="59" t="s">
        <v>183</v>
      </c>
      <c r="B448" s="60">
        <v>45081</v>
      </c>
      <c r="C448" s="54">
        <v>179.15416805090328</v>
      </c>
      <c r="D448" s="54">
        <v>179.15416805090328</v>
      </c>
      <c r="E448"/>
      <c r="F448"/>
      <c r="G448" t="e">
        <v>#N/A</v>
      </c>
      <c r="H448" s="54">
        <v>375</v>
      </c>
      <c r="I448" s="54">
        <v>74</v>
      </c>
      <c r="J448" s="54">
        <v>448</v>
      </c>
      <c r="K448" s="54">
        <v>447</v>
      </c>
      <c r="L448" s="54" t="e">
        <v>#N/A</v>
      </c>
      <c r="M448" s="54" t="s">
        <v>156</v>
      </c>
      <c r="N448" s="54" t="s">
        <v>156</v>
      </c>
      <c r="O448" s="54" t="s">
        <v>156</v>
      </c>
    </row>
    <row r="449" spans="1:15" x14ac:dyDescent="0.35">
      <c r="A449" s="59" t="s">
        <v>183</v>
      </c>
      <c r="B449" s="60">
        <v>45088</v>
      </c>
      <c r="C449" s="54">
        <v>93.899561359080479</v>
      </c>
      <c r="D449" s="54">
        <v>93.899561359080479</v>
      </c>
      <c r="E449"/>
      <c r="F449"/>
      <c r="G449" t="e">
        <v>#N/A</v>
      </c>
      <c r="H449" s="54">
        <v>375</v>
      </c>
      <c r="I449" s="54">
        <v>75</v>
      </c>
      <c r="J449" s="54">
        <v>449</v>
      </c>
      <c r="K449" s="54">
        <v>448</v>
      </c>
      <c r="L449" s="54" t="e">
        <v>#N/A</v>
      </c>
      <c r="M449" s="54" t="s">
        <v>156</v>
      </c>
      <c r="N449" s="54" t="s">
        <v>156</v>
      </c>
      <c r="O449" s="54" t="s">
        <v>156</v>
      </c>
    </row>
    <row r="450" spans="1:15" x14ac:dyDescent="0.35">
      <c r="A450" s="59" t="s">
        <v>183</v>
      </c>
      <c r="B450" s="60">
        <v>45095</v>
      </c>
      <c r="C450" s="54">
        <v>161.03014782835521</v>
      </c>
      <c r="D450" s="54">
        <v>161.03014782835521</v>
      </c>
      <c r="E450"/>
      <c r="F450"/>
      <c r="G450" t="e">
        <v>#N/A</v>
      </c>
      <c r="H450" s="54">
        <v>375</v>
      </c>
      <c r="I450" s="54">
        <v>76</v>
      </c>
      <c r="J450" s="54">
        <v>450</v>
      </c>
      <c r="K450" s="54">
        <v>449</v>
      </c>
      <c r="L450" s="54" t="e">
        <v>#N/A</v>
      </c>
      <c r="M450" s="54" t="s">
        <v>156</v>
      </c>
      <c r="N450" s="54" t="s">
        <v>156</v>
      </c>
      <c r="O450" s="54" t="s">
        <v>156</v>
      </c>
    </row>
    <row r="451" spans="1:15" x14ac:dyDescent="0.35">
      <c r="A451" s="59" t="s">
        <v>183</v>
      </c>
      <c r="B451" s="60">
        <v>45102</v>
      </c>
      <c r="C451" s="54">
        <v>144.52725465051458</v>
      </c>
      <c r="D451" s="54">
        <v>144.52725465051458</v>
      </c>
      <c r="E451"/>
      <c r="F451"/>
      <c r="G451" t="e">
        <v>#N/A</v>
      </c>
      <c r="H451" s="54">
        <v>375</v>
      </c>
      <c r="I451" s="54">
        <v>77</v>
      </c>
      <c r="J451" s="54">
        <v>451</v>
      </c>
      <c r="K451" s="54">
        <v>450</v>
      </c>
      <c r="L451" s="54" t="e">
        <v>#N/A</v>
      </c>
      <c r="M451" s="54" t="s">
        <v>156</v>
      </c>
      <c r="N451" s="54" t="s">
        <v>156</v>
      </c>
      <c r="O451" s="54" t="s">
        <v>156</v>
      </c>
    </row>
    <row r="452" spans="1:15" x14ac:dyDescent="0.35">
      <c r="A452" s="59" t="s">
        <v>183</v>
      </c>
      <c r="B452" s="60">
        <v>45109</v>
      </c>
      <c r="C452" s="54">
        <v>134.93058659578912</v>
      </c>
      <c r="D452" s="54">
        <v>134.93058659578912</v>
      </c>
      <c r="E452"/>
      <c r="F452"/>
      <c r="G452" t="e">
        <v>#N/A</v>
      </c>
      <c r="H452" s="54">
        <v>375</v>
      </c>
      <c r="I452" s="54">
        <v>78</v>
      </c>
      <c r="J452" s="54">
        <v>452</v>
      </c>
      <c r="K452" s="54">
        <v>451</v>
      </c>
      <c r="L452" s="54" t="e">
        <v>#N/A</v>
      </c>
      <c r="M452" s="54" t="s">
        <v>156</v>
      </c>
      <c r="N452" s="54" t="s">
        <v>156</v>
      </c>
      <c r="O452" s="54" t="s">
        <v>156</v>
      </c>
    </row>
    <row r="453" spans="1:15" x14ac:dyDescent="0.35">
      <c r="A453" s="59" t="s">
        <v>183</v>
      </c>
      <c r="B453" s="60">
        <v>45116</v>
      </c>
      <c r="C453" s="54">
        <v>140.83521553071006</v>
      </c>
      <c r="D453" s="54">
        <v>140.83521553071006</v>
      </c>
      <c r="E453"/>
      <c r="F453"/>
      <c r="G453" t="e">
        <v>#N/A</v>
      </c>
      <c r="H453" s="54">
        <v>375</v>
      </c>
      <c r="I453" s="54">
        <v>79</v>
      </c>
      <c r="J453" s="54">
        <v>453</v>
      </c>
      <c r="K453" s="54">
        <v>452</v>
      </c>
      <c r="L453" s="54" t="e">
        <v>#N/A</v>
      </c>
      <c r="M453" s="54" t="s">
        <v>156</v>
      </c>
      <c r="N453" s="54" t="s">
        <v>156</v>
      </c>
      <c r="O453" s="54" t="s">
        <v>156</v>
      </c>
    </row>
    <row r="454" spans="1:15" x14ac:dyDescent="0.35">
      <c r="A454" s="59" t="s">
        <v>183</v>
      </c>
      <c r="B454" s="60">
        <v>45123</v>
      </c>
      <c r="C454" s="54">
        <v>97.337888102875667</v>
      </c>
      <c r="D454" s="54">
        <v>97.337888102875667</v>
      </c>
      <c r="E454"/>
      <c r="F454"/>
      <c r="G454" t="e">
        <v>#N/A</v>
      </c>
      <c r="H454" s="54">
        <v>375</v>
      </c>
      <c r="I454" s="54">
        <v>80</v>
      </c>
      <c r="J454" s="54">
        <v>454</v>
      </c>
      <c r="K454" s="54">
        <v>453</v>
      </c>
      <c r="L454" s="54" t="e">
        <v>#N/A</v>
      </c>
      <c r="M454" s="54" t="s">
        <v>156</v>
      </c>
      <c r="N454" s="54" t="s">
        <v>156</v>
      </c>
      <c r="O454" s="54" t="s">
        <v>156</v>
      </c>
    </row>
    <row r="455" spans="1:15" x14ac:dyDescent="0.35">
      <c r="A455" s="59" t="s">
        <v>183</v>
      </c>
      <c r="B455" s="60">
        <v>45130</v>
      </c>
      <c r="C455" s="54">
        <v>130.82024895749859</v>
      </c>
      <c r="D455" s="54">
        <v>130.82024895749859</v>
      </c>
      <c r="E455"/>
      <c r="F455"/>
      <c r="G455" t="e">
        <v>#N/A</v>
      </c>
      <c r="H455" s="54">
        <v>375</v>
      </c>
      <c r="I455" s="54">
        <v>81</v>
      </c>
      <c r="J455" s="54">
        <v>455</v>
      </c>
      <c r="K455" s="54">
        <v>454</v>
      </c>
      <c r="L455" s="54" t="e">
        <v>#N/A</v>
      </c>
      <c r="M455" s="54" t="s">
        <v>156</v>
      </c>
      <c r="N455" s="54" t="s">
        <v>156</v>
      </c>
      <c r="O455" s="54" t="s">
        <v>156</v>
      </c>
    </row>
    <row r="456" spans="1:15" x14ac:dyDescent="0.35">
      <c r="A456" s="59" t="s">
        <v>183</v>
      </c>
      <c r="B456" s="60">
        <v>45137</v>
      </c>
      <c r="C456" s="54">
        <v>140.55015368938422</v>
      </c>
      <c r="D456" s="54">
        <v>140.55015368938422</v>
      </c>
      <c r="E456"/>
      <c r="F456"/>
      <c r="G456" t="e">
        <v>#N/A</v>
      </c>
      <c r="H456" s="54">
        <v>375</v>
      </c>
      <c r="I456" s="54">
        <v>82</v>
      </c>
      <c r="J456" s="54">
        <v>456</v>
      </c>
      <c r="K456" s="54">
        <v>455</v>
      </c>
      <c r="L456" s="54" t="e">
        <v>#N/A</v>
      </c>
      <c r="M456" s="54" t="s">
        <v>156</v>
      </c>
      <c r="N456" s="54" t="s">
        <v>156</v>
      </c>
      <c r="O456" s="54" t="s">
        <v>156</v>
      </c>
    </row>
    <row r="457" spans="1:15" x14ac:dyDescent="0.35">
      <c r="A457" s="59" t="s">
        <v>183</v>
      </c>
      <c r="B457" s="60">
        <v>45144</v>
      </c>
      <c r="C457" s="54">
        <v>161.26341745395499</v>
      </c>
      <c r="D457" s="54">
        <v>161.26341745395499</v>
      </c>
      <c r="E457"/>
      <c r="F457"/>
      <c r="G457" t="e">
        <v>#N/A</v>
      </c>
      <c r="H457" s="54">
        <v>375</v>
      </c>
      <c r="I457" s="54">
        <v>83</v>
      </c>
      <c r="J457" s="54">
        <v>457</v>
      </c>
      <c r="K457" s="54">
        <v>456</v>
      </c>
      <c r="L457" s="54" t="e">
        <v>#N/A</v>
      </c>
      <c r="M457" s="54" t="s">
        <v>156</v>
      </c>
      <c r="N457" s="54" t="s">
        <v>156</v>
      </c>
      <c r="O457" s="54" t="s">
        <v>156</v>
      </c>
    </row>
    <row r="458" spans="1:15" x14ac:dyDescent="0.35">
      <c r="A458" s="59" t="s">
        <v>183</v>
      </c>
      <c r="B458" s="60">
        <v>45151</v>
      </c>
      <c r="C458" s="54">
        <v>119.77330069990393</v>
      </c>
      <c r="D458" s="54">
        <v>119.77330069990393</v>
      </c>
      <c r="E458"/>
      <c r="F458"/>
      <c r="G458" t="e">
        <v>#N/A</v>
      </c>
      <c r="H458" s="54">
        <v>375</v>
      </c>
      <c r="I458" s="54">
        <v>84</v>
      </c>
      <c r="J458" s="54">
        <v>458</v>
      </c>
      <c r="K458" s="54">
        <v>457</v>
      </c>
      <c r="L458" s="54" t="e">
        <v>#N/A</v>
      </c>
      <c r="M458" s="54" t="s">
        <v>156</v>
      </c>
      <c r="N458" s="54" t="s">
        <v>156</v>
      </c>
      <c r="O458" s="54" t="s">
        <v>156</v>
      </c>
    </row>
    <row r="459" spans="1:15" x14ac:dyDescent="0.35">
      <c r="A459" s="59" t="s">
        <v>183</v>
      </c>
      <c r="B459" s="60">
        <v>45158</v>
      </c>
      <c r="C459" s="54">
        <v>112.56767477732035</v>
      </c>
      <c r="D459" s="54">
        <v>112.56767477732035</v>
      </c>
      <c r="E459"/>
      <c r="F459"/>
      <c r="G459" t="e">
        <v>#N/A</v>
      </c>
      <c r="H459" s="54">
        <v>375</v>
      </c>
      <c r="I459" s="54">
        <v>85</v>
      </c>
      <c r="J459" s="54">
        <v>459</v>
      </c>
      <c r="K459" s="54">
        <v>458</v>
      </c>
      <c r="L459" s="54" t="e">
        <v>#N/A</v>
      </c>
      <c r="M459" s="54" t="s">
        <v>156</v>
      </c>
      <c r="N459" s="54" t="s">
        <v>156</v>
      </c>
      <c r="O459" s="54" t="s">
        <v>156</v>
      </c>
    </row>
    <row r="460" spans="1:15" x14ac:dyDescent="0.35">
      <c r="A460" s="59" t="s">
        <v>183</v>
      </c>
      <c r="B460" s="60">
        <v>45165</v>
      </c>
      <c r="C460" s="54">
        <v>117.49464416488726</v>
      </c>
      <c r="D460" s="54">
        <v>117.49464416488726</v>
      </c>
      <c r="E460"/>
      <c r="F460"/>
      <c r="G460" t="e">
        <v>#N/A</v>
      </c>
      <c r="H460" s="54">
        <v>375</v>
      </c>
      <c r="I460" s="54">
        <v>86</v>
      </c>
      <c r="J460" s="54">
        <v>460</v>
      </c>
      <c r="K460" s="54">
        <v>459</v>
      </c>
      <c r="L460" s="54" t="e">
        <v>#N/A</v>
      </c>
      <c r="M460" s="54" t="s">
        <v>156</v>
      </c>
      <c r="N460" s="54" t="s">
        <v>156</v>
      </c>
      <c r="O460" s="54" t="s">
        <v>156</v>
      </c>
    </row>
    <row r="461" spans="1:15" x14ac:dyDescent="0.35">
      <c r="A461" s="59" t="s">
        <v>183</v>
      </c>
      <c r="B461" s="60">
        <v>45172</v>
      </c>
      <c r="C461" s="54">
        <v>144.84836503616836</v>
      </c>
      <c r="D461" s="54">
        <v>144.84836503616836</v>
      </c>
      <c r="E461"/>
      <c r="F461"/>
      <c r="G461" t="e">
        <v>#N/A</v>
      </c>
      <c r="H461" s="54">
        <v>375</v>
      </c>
      <c r="I461" s="54">
        <v>87</v>
      </c>
      <c r="J461" s="54">
        <v>461</v>
      </c>
      <c r="K461" s="54">
        <v>460</v>
      </c>
      <c r="L461" s="54" t="e">
        <v>#N/A</v>
      </c>
      <c r="M461" s="54" t="s">
        <v>156</v>
      </c>
      <c r="N461" s="54" t="s">
        <v>156</v>
      </c>
      <c r="O461" s="54" t="s">
        <v>156</v>
      </c>
    </row>
    <row r="462" spans="1:15" x14ac:dyDescent="0.35">
      <c r="A462" s="59" t="s">
        <v>183</v>
      </c>
      <c r="B462" s="60">
        <v>45179</v>
      </c>
      <c r="C462" s="54">
        <v>132.36590168012953</v>
      </c>
      <c r="D462" s="54">
        <v>132.36590168012953</v>
      </c>
      <c r="E462"/>
      <c r="F462"/>
      <c r="G462" t="e">
        <v>#N/A</v>
      </c>
      <c r="H462" s="54">
        <v>375</v>
      </c>
      <c r="I462" s="54">
        <v>88</v>
      </c>
      <c r="J462" s="54">
        <v>462</v>
      </c>
      <c r="K462" s="54">
        <v>461</v>
      </c>
      <c r="L462" s="54" t="e">
        <v>#N/A</v>
      </c>
      <c r="M462" s="54" t="s">
        <v>156</v>
      </c>
      <c r="N462" s="54" t="s">
        <v>156</v>
      </c>
      <c r="O462" s="54" t="s">
        <v>156</v>
      </c>
    </row>
    <row r="463" spans="1:15" x14ac:dyDescent="0.35">
      <c r="A463" s="59" t="s">
        <v>183</v>
      </c>
      <c r="B463" s="60">
        <v>45186</v>
      </c>
      <c r="C463" s="54">
        <v>114.70447107095094</v>
      </c>
      <c r="D463" s="54">
        <v>114.70447107095094</v>
      </c>
      <c r="E463"/>
      <c r="F463"/>
      <c r="G463" t="e">
        <v>#N/A</v>
      </c>
      <c r="H463" s="54">
        <v>375</v>
      </c>
      <c r="I463" s="54">
        <v>89</v>
      </c>
      <c r="J463" s="54">
        <v>463</v>
      </c>
      <c r="K463" s="54">
        <v>462</v>
      </c>
      <c r="L463" s="54" t="e">
        <v>#N/A</v>
      </c>
      <c r="M463" s="54" t="s">
        <v>156</v>
      </c>
      <c r="N463" s="54" t="s">
        <v>156</v>
      </c>
      <c r="O463" s="54" t="s">
        <v>156</v>
      </c>
    </row>
    <row r="464" spans="1:15" x14ac:dyDescent="0.35">
      <c r="A464" s="59" t="s">
        <v>183</v>
      </c>
      <c r="B464" s="60">
        <v>45193</v>
      </c>
      <c r="C464" s="54">
        <v>135.34651231374608</v>
      </c>
      <c r="D464" s="54">
        <v>135.34651231374608</v>
      </c>
      <c r="E464"/>
      <c r="F464"/>
      <c r="G464" t="e">
        <v>#N/A</v>
      </c>
      <c r="H464" s="54">
        <v>375</v>
      </c>
      <c r="I464" s="54">
        <v>90</v>
      </c>
      <c r="J464" s="54">
        <v>464</v>
      </c>
      <c r="K464" s="54">
        <v>463</v>
      </c>
      <c r="L464" s="54" t="e">
        <v>#N/A</v>
      </c>
      <c r="M464" s="54" t="s">
        <v>156</v>
      </c>
      <c r="N464" s="54" t="s">
        <v>156</v>
      </c>
      <c r="O464" s="54" t="s">
        <v>156</v>
      </c>
    </row>
    <row r="465" spans="1:15" x14ac:dyDescent="0.35">
      <c r="A465" s="59" t="s">
        <v>183</v>
      </c>
      <c r="B465" s="60">
        <v>45200</v>
      </c>
      <c r="C465" s="54">
        <v>127.08737350499973</v>
      </c>
      <c r="D465" s="54">
        <v>127.08737350499973</v>
      </c>
      <c r="E465"/>
      <c r="F465"/>
      <c r="G465" t="e">
        <v>#N/A</v>
      </c>
      <c r="H465" s="54">
        <v>375</v>
      </c>
      <c r="I465" s="54">
        <v>91</v>
      </c>
      <c r="J465" s="54">
        <v>465</v>
      </c>
      <c r="K465" s="54">
        <v>464</v>
      </c>
      <c r="L465" s="54" t="e">
        <v>#N/A</v>
      </c>
      <c r="M465" s="54" t="s">
        <v>156</v>
      </c>
      <c r="N465" s="54" t="s">
        <v>156</v>
      </c>
      <c r="O465" s="54" t="s">
        <v>156</v>
      </c>
    </row>
    <row r="466" spans="1:15" x14ac:dyDescent="0.35">
      <c r="A466" s="59" t="s">
        <v>183</v>
      </c>
      <c r="B466" s="60">
        <v>45207</v>
      </c>
      <c r="C466" s="54">
        <v>144.87289981065777</v>
      </c>
      <c r="D466" s="54">
        <v>144.87289981065777</v>
      </c>
      <c r="E466"/>
      <c r="F466"/>
      <c r="G466" t="e">
        <v>#N/A</v>
      </c>
      <c r="H466" s="54">
        <v>375</v>
      </c>
      <c r="I466" s="54">
        <v>92</v>
      </c>
      <c r="J466" s="54">
        <v>466</v>
      </c>
      <c r="K466" s="54">
        <v>465</v>
      </c>
      <c r="L466" s="54" t="e">
        <v>#N/A</v>
      </c>
      <c r="M466" s="54" t="s">
        <v>156</v>
      </c>
      <c r="N466" s="54" t="s">
        <v>156</v>
      </c>
      <c r="O466" s="54" t="s">
        <v>156</v>
      </c>
    </row>
    <row r="467" spans="1:15" x14ac:dyDescent="0.35">
      <c r="A467" s="59" t="s">
        <v>183</v>
      </c>
      <c r="B467" s="60">
        <v>45214</v>
      </c>
      <c r="C467" s="54">
        <v>112.10476064049188</v>
      </c>
      <c r="D467" s="54">
        <v>112.10476064049188</v>
      </c>
      <c r="E467"/>
      <c r="F467"/>
      <c r="G467" t="e">
        <v>#N/A</v>
      </c>
      <c r="H467" s="54">
        <v>375</v>
      </c>
      <c r="I467" s="54">
        <v>93</v>
      </c>
      <c r="J467" s="54">
        <v>467</v>
      </c>
      <c r="K467" s="54">
        <v>466</v>
      </c>
      <c r="L467" s="54" t="e">
        <v>#N/A</v>
      </c>
      <c r="M467" s="54" t="s">
        <v>156</v>
      </c>
      <c r="N467" s="54" t="s">
        <v>156</v>
      </c>
      <c r="O467" s="54" t="s">
        <v>156</v>
      </c>
    </row>
    <row r="468" spans="1:15" x14ac:dyDescent="0.35">
      <c r="A468" s="59" t="s">
        <v>183</v>
      </c>
      <c r="B468" s="60">
        <v>45221</v>
      </c>
      <c r="C468" s="54">
        <v>120.52792071952359</v>
      </c>
      <c r="D468" s="54">
        <v>120.52792071952359</v>
      </c>
      <c r="E468"/>
      <c r="F468"/>
      <c r="G468" t="e">
        <v>#N/A</v>
      </c>
      <c r="H468" s="54">
        <v>375</v>
      </c>
      <c r="I468" s="54">
        <v>94</v>
      </c>
      <c r="J468" s="54">
        <v>468</v>
      </c>
      <c r="K468" s="54">
        <v>467</v>
      </c>
      <c r="L468" s="54" t="e">
        <v>#N/A</v>
      </c>
      <c r="M468" s="54" t="s">
        <v>156</v>
      </c>
      <c r="N468" s="54" t="s">
        <v>156</v>
      </c>
      <c r="O468" s="54" t="s">
        <v>156</v>
      </c>
    </row>
    <row r="469" spans="1:15" x14ac:dyDescent="0.35">
      <c r="A469" s="59" t="s">
        <v>183</v>
      </c>
      <c r="B469" s="60">
        <v>45228</v>
      </c>
      <c r="C469" s="54">
        <v>120.45751208364854</v>
      </c>
      <c r="D469" s="54">
        <v>120.45751208364854</v>
      </c>
      <c r="E469"/>
      <c r="F469"/>
      <c r="G469" t="e">
        <v>#N/A</v>
      </c>
      <c r="H469" s="54">
        <v>375</v>
      </c>
      <c r="I469" s="54">
        <v>95</v>
      </c>
      <c r="J469" s="54">
        <v>469</v>
      </c>
      <c r="K469" s="54">
        <v>468</v>
      </c>
      <c r="L469" s="54" t="e">
        <v>#N/A</v>
      </c>
      <c r="M469" s="54" t="s">
        <v>156</v>
      </c>
      <c r="N469" s="54" t="s">
        <v>156</v>
      </c>
      <c r="O469" s="54" t="s">
        <v>156</v>
      </c>
    </row>
    <row r="470" spans="1:15" x14ac:dyDescent="0.35">
      <c r="A470" s="59" t="s">
        <v>183</v>
      </c>
      <c r="B470" s="60">
        <v>45235</v>
      </c>
      <c r="C470" s="54">
        <v>100.52058052429344</v>
      </c>
      <c r="D470" s="54">
        <v>100.52058052429344</v>
      </c>
      <c r="E470"/>
      <c r="F470"/>
      <c r="G470" t="e">
        <v>#N/A</v>
      </c>
      <c r="H470" s="54">
        <v>375</v>
      </c>
      <c r="I470" s="54">
        <v>96</v>
      </c>
      <c r="J470" s="54">
        <v>470</v>
      </c>
      <c r="K470" s="54">
        <v>469</v>
      </c>
      <c r="L470" s="54" t="e">
        <v>#N/A</v>
      </c>
      <c r="M470" s="54" t="s">
        <v>156</v>
      </c>
      <c r="N470" s="54" t="s">
        <v>156</v>
      </c>
      <c r="O470" s="54" t="s">
        <v>156</v>
      </c>
    </row>
    <row r="471" spans="1:15" x14ac:dyDescent="0.35">
      <c r="A471" s="59" t="s">
        <v>183</v>
      </c>
      <c r="B471" s="60">
        <v>45242</v>
      </c>
      <c r="C471" s="54">
        <v>137.4627282234184</v>
      </c>
      <c r="D471" s="54">
        <v>137.4627282234184</v>
      </c>
      <c r="E471"/>
      <c r="F471"/>
      <c r="G471" t="e">
        <v>#N/A</v>
      </c>
      <c r="H471" s="54">
        <v>375</v>
      </c>
      <c r="I471" s="54">
        <v>97</v>
      </c>
      <c r="J471" s="54">
        <v>471</v>
      </c>
      <c r="K471" s="54">
        <v>470</v>
      </c>
      <c r="L471" s="54" t="e">
        <v>#N/A</v>
      </c>
      <c r="M471" s="54" t="s">
        <v>156</v>
      </c>
      <c r="N471" s="54" t="s">
        <v>156</v>
      </c>
      <c r="O471" s="54" t="s">
        <v>156</v>
      </c>
    </row>
    <row r="472" spans="1:15" x14ac:dyDescent="0.35">
      <c r="A472" s="59" t="s">
        <v>183</v>
      </c>
      <c r="B472" s="60">
        <v>45249</v>
      </c>
      <c r="C472" s="54">
        <v>138.75089048017577</v>
      </c>
      <c r="D472" s="54">
        <v>138.75089048017577</v>
      </c>
      <c r="E472"/>
      <c r="F472"/>
      <c r="G472" t="e">
        <v>#N/A</v>
      </c>
      <c r="H472" s="54">
        <v>375</v>
      </c>
      <c r="I472" s="54">
        <v>98</v>
      </c>
      <c r="J472" s="54">
        <v>472</v>
      </c>
      <c r="K472" s="54">
        <v>471</v>
      </c>
      <c r="L472" s="54" t="e">
        <v>#N/A</v>
      </c>
      <c r="M472" s="54" t="s">
        <v>156</v>
      </c>
      <c r="N472" s="54" t="s">
        <v>156</v>
      </c>
      <c r="O472" s="54" t="s">
        <v>156</v>
      </c>
    </row>
    <row r="473" spans="1:15" x14ac:dyDescent="0.35">
      <c r="A473" s="59" t="s">
        <v>183</v>
      </c>
      <c r="B473" s="60">
        <v>45256</v>
      </c>
      <c r="C473" s="54">
        <v>135.83981596803329</v>
      </c>
      <c r="D473" s="54">
        <v>135.83981596803329</v>
      </c>
      <c r="E473"/>
      <c r="F473"/>
      <c r="G473" t="e">
        <v>#N/A</v>
      </c>
      <c r="H473" s="54">
        <v>375</v>
      </c>
      <c r="I473" s="54">
        <v>99</v>
      </c>
      <c r="J473" s="54">
        <v>473</v>
      </c>
      <c r="K473" s="54">
        <v>472</v>
      </c>
      <c r="L473" s="54" t="e">
        <v>#N/A</v>
      </c>
      <c r="M473" s="54" t="s">
        <v>156</v>
      </c>
      <c r="N473" s="54" t="s">
        <v>156</v>
      </c>
      <c r="O473" s="54" t="s">
        <v>156</v>
      </c>
    </row>
    <row r="474" spans="1:15" x14ac:dyDescent="0.35">
      <c r="A474" s="59" t="s">
        <v>183</v>
      </c>
      <c r="B474" s="60">
        <v>45263</v>
      </c>
      <c r="C474" s="54">
        <v>133.44696239787393</v>
      </c>
      <c r="D474" s="54">
        <v>133.44696239787393</v>
      </c>
      <c r="E474"/>
      <c r="F474"/>
      <c r="G474" t="e">
        <v>#N/A</v>
      </c>
      <c r="H474" s="54">
        <v>375</v>
      </c>
      <c r="I474" s="54">
        <v>100</v>
      </c>
      <c r="J474" s="54">
        <v>474</v>
      </c>
      <c r="K474" s="54">
        <v>473</v>
      </c>
      <c r="L474" s="54" t="e">
        <v>#N/A</v>
      </c>
      <c r="M474" s="54" t="s">
        <v>156</v>
      </c>
      <c r="N474" s="54" t="s">
        <v>156</v>
      </c>
      <c r="O474" s="54" t="s">
        <v>156</v>
      </c>
    </row>
    <row r="475" spans="1:15" x14ac:dyDescent="0.35">
      <c r="A475" s="59" t="s">
        <v>183</v>
      </c>
      <c r="B475" s="60">
        <v>45270</v>
      </c>
      <c r="C475" s="54">
        <v>112.39812171811634</v>
      </c>
      <c r="D475" s="54">
        <v>112.39812171811634</v>
      </c>
      <c r="E475"/>
      <c r="F475"/>
      <c r="G475" t="e">
        <v>#N/A</v>
      </c>
      <c r="H475" s="54">
        <v>375</v>
      </c>
      <c r="I475" s="54">
        <v>101</v>
      </c>
      <c r="J475" s="54">
        <v>475</v>
      </c>
      <c r="K475" s="54">
        <v>474</v>
      </c>
      <c r="L475" s="54" t="e">
        <v>#N/A</v>
      </c>
      <c r="M475" s="54" t="s">
        <v>156</v>
      </c>
      <c r="N475" s="54" t="s">
        <v>156</v>
      </c>
      <c r="O475" s="54" t="s">
        <v>156</v>
      </c>
    </row>
    <row r="476" spans="1:15" x14ac:dyDescent="0.35">
      <c r="A476" s="59" t="s">
        <v>183</v>
      </c>
      <c r="B476" s="60">
        <v>45277</v>
      </c>
      <c r="C476" s="54">
        <v>134.99499580384207</v>
      </c>
      <c r="D476" s="54">
        <v>134.99499580384207</v>
      </c>
      <c r="E476"/>
      <c r="F476"/>
      <c r="G476" t="e">
        <v>#N/A</v>
      </c>
      <c r="H476" s="54">
        <v>375</v>
      </c>
      <c r="I476" s="54">
        <v>102</v>
      </c>
      <c r="J476" s="54">
        <v>476</v>
      </c>
      <c r="K476" s="54">
        <v>475</v>
      </c>
      <c r="L476" s="54" t="e">
        <v>#N/A</v>
      </c>
      <c r="M476" s="54" t="s">
        <v>156</v>
      </c>
      <c r="N476" s="54" t="s">
        <v>156</v>
      </c>
      <c r="O476" s="54" t="s">
        <v>156</v>
      </c>
    </row>
    <row r="477" spans="1:15" x14ac:dyDescent="0.35">
      <c r="A477" s="59" t="s">
        <v>183</v>
      </c>
      <c r="B477" s="60">
        <v>45284</v>
      </c>
      <c r="C477" s="54">
        <v>139.35939638371343</v>
      </c>
      <c r="D477" s="54">
        <v>139.35939638371343</v>
      </c>
      <c r="E477"/>
      <c r="F477"/>
      <c r="G477" t="e">
        <v>#N/A</v>
      </c>
      <c r="H477" s="54">
        <v>375</v>
      </c>
      <c r="I477" s="54">
        <v>103</v>
      </c>
      <c r="J477" s="54">
        <v>477</v>
      </c>
      <c r="K477" s="54">
        <v>476</v>
      </c>
      <c r="L477" s="54" t="e">
        <v>#N/A</v>
      </c>
      <c r="M477" s="54" t="s">
        <v>156</v>
      </c>
      <c r="N477" s="54" t="s">
        <v>156</v>
      </c>
      <c r="O477" s="54" t="s">
        <v>156</v>
      </c>
    </row>
    <row r="478" spans="1:15" x14ac:dyDescent="0.35">
      <c r="A478" s="59" t="s">
        <v>183</v>
      </c>
      <c r="B478" s="60">
        <v>45291</v>
      </c>
      <c r="C478" s="54">
        <v>133.04372101046113</v>
      </c>
      <c r="D478" s="54">
        <v>133.04372101046113</v>
      </c>
      <c r="E478"/>
      <c r="F478"/>
      <c r="G478" t="e">
        <v>#N/A</v>
      </c>
      <c r="H478" s="54">
        <v>375</v>
      </c>
      <c r="I478" s="54">
        <v>104</v>
      </c>
      <c r="J478" s="54">
        <v>478</v>
      </c>
      <c r="K478" s="54">
        <v>477</v>
      </c>
      <c r="L478" s="54" t="e">
        <v>#N/A</v>
      </c>
      <c r="M478" s="54" t="s">
        <v>156</v>
      </c>
      <c r="N478" s="54" t="s">
        <v>156</v>
      </c>
      <c r="O478" s="54" t="s">
        <v>156</v>
      </c>
    </row>
    <row r="479" spans="1:15" x14ac:dyDescent="0.35">
      <c r="A479" s="59" t="s">
        <v>183</v>
      </c>
      <c r="B479" s="60">
        <v>45298</v>
      </c>
      <c r="C479" s="54">
        <v>148.77428576667984</v>
      </c>
      <c r="D479" s="54">
        <v>148.77428576667984</v>
      </c>
      <c r="E479"/>
      <c r="F479"/>
      <c r="G479" t="e">
        <v>#N/A</v>
      </c>
      <c r="H479" s="54">
        <v>375</v>
      </c>
      <c r="I479" s="54">
        <v>105</v>
      </c>
      <c r="J479" s="54">
        <v>479</v>
      </c>
      <c r="K479" s="54">
        <v>478</v>
      </c>
      <c r="L479" s="54" t="e">
        <v>#N/A</v>
      </c>
      <c r="M479" s="54" t="s">
        <v>156</v>
      </c>
      <c r="N479" s="54" t="s">
        <v>156</v>
      </c>
      <c r="O479" s="54" t="s">
        <v>156</v>
      </c>
    </row>
    <row r="480" spans="1:15" x14ac:dyDescent="0.35">
      <c r="A480" s="59" t="s">
        <v>183</v>
      </c>
      <c r="B480" s="60">
        <v>45305</v>
      </c>
      <c r="C480" s="54">
        <v>162.99175074139725</v>
      </c>
      <c r="D480" s="54">
        <v>162.99175074139725</v>
      </c>
      <c r="E480"/>
      <c r="F480"/>
      <c r="G480" t="e">
        <v>#N/A</v>
      </c>
      <c r="H480" s="54">
        <v>375</v>
      </c>
      <c r="I480" s="54">
        <v>106</v>
      </c>
      <c r="J480" s="54">
        <v>480</v>
      </c>
      <c r="K480" s="54">
        <v>479</v>
      </c>
      <c r="L480" s="54" t="e">
        <v>#N/A</v>
      </c>
      <c r="M480" s="54" t="s">
        <v>156</v>
      </c>
      <c r="N480" s="54" t="s">
        <v>156</v>
      </c>
      <c r="O480" s="54" t="s">
        <v>156</v>
      </c>
    </row>
    <row r="481" spans="1:15" x14ac:dyDescent="0.35">
      <c r="A481" s="59" t="s">
        <v>183</v>
      </c>
      <c r="B481" s="60">
        <v>45312</v>
      </c>
      <c r="C481" s="54">
        <v>195.51003130996176</v>
      </c>
      <c r="D481" s="54">
        <v>195.51003130996176</v>
      </c>
      <c r="E481"/>
      <c r="F481"/>
      <c r="G481" t="e">
        <v>#N/A</v>
      </c>
      <c r="H481" s="54">
        <v>375</v>
      </c>
      <c r="I481" s="54">
        <v>107</v>
      </c>
      <c r="J481" s="54">
        <v>481</v>
      </c>
      <c r="K481" s="54">
        <v>480</v>
      </c>
      <c r="L481" s="54" t="e">
        <v>#N/A</v>
      </c>
      <c r="M481" s="54" t="s">
        <v>156</v>
      </c>
      <c r="N481" s="54" t="s">
        <v>156</v>
      </c>
      <c r="O481" s="54" t="s">
        <v>156</v>
      </c>
    </row>
    <row r="482" spans="1:15" x14ac:dyDescent="0.35">
      <c r="A482" s="59" t="s">
        <v>183</v>
      </c>
      <c r="B482" s="60">
        <v>45319</v>
      </c>
      <c r="C482" s="54">
        <v>164.08365399748749</v>
      </c>
      <c r="D482" s="54">
        <v>164.08365399748749</v>
      </c>
      <c r="E482"/>
      <c r="F482"/>
      <c r="G482" t="e">
        <v>#N/A</v>
      </c>
      <c r="H482" s="54">
        <v>375</v>
      </c>
      <c r="I482" s="54">
        <v>108</v>
      </c>
      <c r="J482" s="54">
        <v>482</v>
      </c>
      <c r="K482" s="54">
        <v>481</v>
      </c>
      <c r="L482" s="54" t="e">
        <v>#N/A</v>
      </c>
      <c r="M482" s="54" t="s">
        <v>156</v>
      </c>
      <c r="N482" s="54" t="s">
        <v>156</v>
      </c>
      <c r="O482" s="54" t="s">
        <v>156</v>
      </c>
    </row>
    <row r="483" spans="1:15" x14ac:dyDescent="0.35">
      <c r="A483" s="59" t="s">
        <v>183</v>
      </c>
      <c r="B483" s="60">
        <v>45326</v>
      </c>
      <c r="C483" s="54">
        <v>168.44547125533063</v>
      </c>
      <c r="D483" s="54">
        <v>168.44547125533063</v>
      </c>
      <c r="E483"/>
      <c r="F483"/>
      <c r="G483" t="e">
        <v>#N/A</v>
      </c>
      <c r="H483" s="54">
        <v>375</v>
      </c>
      <c r="I483" s="54">
        <v>109</v>
      </c>
      <c r="J483" s="54">
        <v>483</v>
      </c>
      <c r="K483" s="54">
        <v>482</v>
      </c>
      <c r="L483" s="54" t="e">
        <v>#N/A</v>
      </c>
      <c r="M483" s="54" t="s">
        <v>156</v>
      </c>
      <c r="N483" s="54" t="s">
        <v>156</v>
      </c>
      <c r="O483" s="54" t="s">
        <v>156</v>
      </c>
    </row>
    <row r="484" spans="1:15" x14ac:dyDescent="0.35">
      <c r="A484" s="59" t="s">
        <v>183</v>
      </c>
      <c r="B484" s="60">
        <v>45333</v>
      </c>
      <c r="C484" s="54">
        <v>164.37237661929976</v>
      </c>
      <c r="D484" s="54">
        <v>164.37237661929976</v>
      </c>
      <c r="E484"/>
      <c r="F484"/>
      <c r="G484" t="e">
        <v>#N/A</v>
      </c>
      <c r="H484" s="54">
        <v>375</v>
      </c>
      <c r="I484" s="54">
        <v>110</v>
      </c>
      <c r="J484" s="54">
        <v>484</v>
      </c>
      <c r="K484" s="54">
        <v>483</v>
      </c>
      <c r="L484" s="54" t="e">
        <v>#N/A</v>
      </c>
      <c r="M484" s="54" t="s">
        <v>156</v>
      </c>
      <c r="N484" s="54" t="s">
        <v>156</v>
      </c>
      <c r="O484" s="54" t="s">
        <v>156</v>
      </c>
    </row>
    <row r="485" spans="1:15" x14ac:dyDescent="0.35">
      <c r="A485" s="59" t="s">
        <v>183</v>
      </c>
      <c r="B485" s="60">
        <v>45340</v>
      </c>
      <c r="C485" s="54">
        <v>129.88702885883507</v>
      </c>
      <c r="D485" s="54">
        <v>129.88702885883507</v>
      </c>
      <c r="E485"/>
      <c r="F485"/>
      <c r="G485" t="e">
        <v>#N/A</v>
      </c>
      <c r="H485" s="54">
        <v>375</v>
      </c>
      <c r="I485" s="54">
        <v>111</v>
      </c>
      <c r="J485" s="54">
        <v>485</v>
      </c>
      <c r="K485" s="54">
        <v>484</v>
      </c>
      <c r="L485" s="54" t="e">
        <v>#N/A</v>
      </c>
      <c r="M485" s="54" t="s">
        <v>156</v>
      </c>
      <c r="N485" s="54" t="s">
        <v>156</v>
      </c>
      <c r="O485" s="54" t="s">
        <v>156</v>
      </c>
    </row>
    <row r="486" spans="1:15" x14ac:dyDescent="0.35">
      <c r="A486" s="59" t="s">
        <v>183</v>
      </c>
      <c r="B486" s="60">
        <v>45347</v>
      </c>
      <c r="C486" s="54">
        <v>169.93993745443768</v>
      </c>
      <c r="D486" s="54">
        <v>169.93993745443768</v>
      </c>
      <c r="E486"/>
      <c r="F486"/>
      <c r="G486" t="e">
        <v>#N/A</v>
      </c>
      <c r="H486" s="54">
        <v>375</v>
      </c>
      <c r="I486" s="54">
        <v>112</v>
      </c>
      <c r="J486" s="54">
        <v>486</v>
      </c>
      <c r="K486" s="54">
        <v>485</v>
      </c>
      <c r="L486" s="54" t="e">
        <v>#N/A</v>
      </c>
      <c r="M486" s="54" t="s">
        <v>156</v>
      </c>
      <c r="N486" s="54" t="s">
        <v>156</v>
      </c>
      <c r="O486" s="54" t="s">
        <v>156</v>
      </c>
    </row>
    <row r="487" spans="1:15" x14ac:dyDescent="0.35">
      <c r="A487" s="59" t="s">
        <v>183</v>
      </c>
      <c r="B487" s="60">
        <v>45354</v>
      </c>
      <c r="C487" s="54">
        <v>173.66428151669365</v>
      </c>
      <c r="D487" s="54">
        <v>173.66428151669365</v>
      </c>
      <c r="E487"/>
      <c r="F487"/>
      <c r="G487" t="e">
        <v>#N/A</v>
      </c>
      <c r="H487" s="54">
        <v>375</v>
      </c>
      <c r="I487" s="54">
        <v>113</v>
      </c>
      <c r="J487" s="54">
        <v>487</v>
      </c>
      <c r="K487" s="54">
        <v>486</v>
      </c>
      <c r="L487" s="54" t="e">
        <v>#N/A</v>
      </c>
      <c r="M487" s="54" t="s">
        <v>156</v>
      </c>
      <c r="N487" s="54" t="s">
        <v>156</v>
      </c>
      <c r="O487" s="54" t="s">
        <v>156</v>
      </c>
    </row>
    <row r="488" spans="1:15" x14ac:dyDescent="0.35">
      <c r="A488" s="59" t="s">
        <v>183</v>
      </c>
      <c r="B488" s="60">
        <v>45361</v>
      </c>
      <c r="C488" s="54">
        <v>223.47396276276993</v>
      </c>
      <c r="D488" s="54">
        <v>223.47396276276993</v>
      </c>
      <c r="E488"/>
      <c r="F488"/>
      <c r="G488" t="e">
        <v>#N/A</v>
      </c>
      <c r="H488" s="54">
        <v>375</v>
      </c>
      <c r="I488" s="54">
        <v>114</v>
      </c>
      <c r="J488" s="54">
        <v>488</v>
      </c>
      <c r="K488" s="54">
        <v>487</v>
      </c>
      <c r="L488" s="54" t="e">
        <v>#N/A</v>
      </c>
      <c r="M488" s="54" t="s">
        <v>156</v>
      </c>
      <c r="N488" s="54" t="s">
        <v>156</v>
      </c>
      <c r="O488" s="54" t="s">
        <v>156</v>
      </c>
    </row>
    <row r="489" spans="1:15" x14ac:dyDescent="0.35">
      <c r="A489" s="59" t="s">
        <v>183</v>
      </c>
      <c r="B489" s="60">
        <v>45368</v>
      </c>
      <c r="C489" s="54">
        <v>171.85310555808584</v>
      </c>
      <c r="D489" s="54">
        <v>171.85310555808584</v>
      </c>
      <c r="E489"/>
      <c r="F489"/>
      <c r="G489" t="e">
        <v>#N/A</v>
      </c>
      <c r="H489" s="54">
        <v>375</v>
      </c>
      <c r="I489" s="54">
        <v>115</v>
      </c>
      <c r="J489" s="54">
        <v>489</v>
      </c>
      <c r="K489" s="54">
        <v>488</v>
      </c>
      <c r="L489" s="54" t="e">
        <v>#N/A</v>
      </c>
      <c r="M489" s="54" t="s">
        <v>156</v>
      </c>
      <c r="N489" s="54" t="s">
        <v>156</v>
      </c>
      <c r="O489" s="54" t="s">
        <v>156</v>
      </c>
    </row>
    <row r="490" spans="1:15" x14ac:dyDescent="0.35">
      <c r="A490" s="59" t="s">
        <v>183</v>
      </c>
      <c r="B490" s="60">
        <v>45375</v>
      </c>
      <c r="C490" s="54">
        <v>182.94978319519328</v>
      </c>
      <c r="D490" s="54">
        <v>182.94978319519328</v>
      </c>
      <c r="E490"/>
      <c r="F490"/>
      <c r="G490" t="e">
        <v>#N/A</v>
      </c>
      <c r="H490" s="54">
        <v>375</v>
      </c>
      <c r="I490" s="54">
        <v>116</v>
      </c>
      <c r="J490" s="54">
        <v>490</v>
      </c>
      <c r="K490" s="54">
        <v>489</v>
      </c>
      <c r="L490" s="54" t="e">
        <v>#N/A</v>
      </c>
      <c r="M490" s="54" t="s">
        <v>156</v>
      </c>
      <c r="N490" s="54" t="s">
        <v>156</v>
      </c>
      <c r="O490" s="54" t="s">
        <v>156</v>
      </c>
    </row>
    <row r="491" spans="1:15" x14ac:dyDescent="0.35">
      <c r="A491" s="59" t="s">
        <v>183</v>
      </c>
      <c r="B491" s="60">
        <v>45382</v>
      </c>
      <c r="C491" s="54">
        <v>177.15994208785619</v>
      </c>
      <c r="D491" s="54">
        <v>177.15994208785619</v>
      </c>
      <c r="E491"/>
      <c r="F491"/>
      <c r="G491" t="e">
        <v>#N/A</v>
      </c>
      <c r="H491" s="54">
        <v>375</v>
      </c>
      <c r="I491" s="54">
        <v>117</v>
      </c>
      <c r="J491" s="54">
        <v>491</v>
      </c>
      <c r="K491" s="54">
        <v>490</v>
      </c>
      <c r="L491" s="54" t="e">
        <v>#N/A</v>
      </c>
      <c r="M491" s="54" t="s">
        <v>156</v>
      </c>
      <c r="N491" s="54" t="s">
        <v>156</v>
      </c>
      <c r="O491" s="54" t="s">
        <v>156</v>
      </c>
    </row>
    <row r="492" spans="1:15" x14ac:dyDescent="0.35">
      <c r="A492" s="59" t="s">
        <v>183</v>
      </c>
      <c r="B492" s="60">
        <v>45389</v>
      </c>
      <c r="C492" s="54">
        <v>155.12643924760937</v>
      </c>
      <c r="D492" s="54">
        <v>155.12643924760937</v>
      </c>
      <c r="E492"/>
      <c r="F492"/>
      <c r="G492" t="e">
        <v>#N/A</v>
      </c>
      <c r="H492" s="54">
        <v>375</v>
      </c>
      <c r="I492" s="54">
        <v>118</v>
      </c>
      <c r="J492" s="54">
        <v>492</v>
      </c>
      <c r="K492" s="54">
        <v>491</v>
      </c>
      <c r="L492" s="54" t="e">
        <v>#N/A</v>
      </c>
      <c r="M492" s="54" t="s">
        <v>156</v>
      </c>
      <c r="N492" s="54" t="s">
        <v>156</v>
      </c>
      <c r="O492" s="54" t="s">
        <v>156</v>
      </c>
    </row>
    <row r="493" spans="1:15" x14ac:dyDescent="0.35">
      <c r="A493" s="59" t="s">
        <v>183</v>
      </c>
      <c r="B493" s="60">
        <v>45396</v>
      </c>
      <c r="C493" s="54">
        <v>201.71063377226147</v>
      </c>
      <c r="D493" s="54">
        <v>201.71063377226147</v>
      </c>
      <c r="E493"/>
      <c r="F493"/>
      <c r="G493" t="e">
        <v>#N/A</v>
      </c>
      <c r="H493" s="54">
        <v>375</v>
      </c>
      <c r="I493" s="54">
        <v>119</v>
      </c>
      <c r="J493" s="54">
        <v>493</v>
      </c>
      <c r="K493" s="54">
        <v>492</v>
      </c>
      <c r="L493" s="54" t="e">
        <v>#N/A</v>
      </c>
      <c r="M493" s="54" t="s">
        <v>156</v>
      </c>
      <c r="N493" s="54" t="s">
        <v>156</v>
      </c>
      <c r="O493" s="54" t="s">
        <v>156</v>
      </c>
    </row>
    <row r="494" spans="1:15" x14ac:dyDescent="0.35">
      <c r="A494" s="59" t="s">
        <v>183</v>
      </c>
      <c r="B494" s="60">
        <v>45403</v>
      </c>
      <c r="C494" s="54">
        <v>193.95749700225653</v>
      </c>
      <c r="D494" s="54">
        <v>193.95749700225653</v>
      </c>
      <c r="E494"/>
      <c r="F494"/>
      <c r="G494" t="e">
        <v>#N/A</v>
      </c>
      <c r="H494" s="54">
        <v>375</v>
      </c>
      <c r="I494" s="54">
        <v>120</v>
      </c>
      <c r="J494" s="54">
        <v>494</v>
      </c>
      <c r="K494" s="54">
        <v>493</v>
      </c>
      <c r="L494" s="54" t="e">
        <v>#N/A</v>
      </c>
      <c r="M494" s="54" t="s">
        <v>156</v>
      </c>
      <c r="N494" s="54" t="s">
        <v>156</v>
      </c>
      <c r="O494" s="54" t="s">
        <v>156</v>
      </c>
    </row>
    <row r="495" spans="1:15" x14ac:dyDescent="0.35">
      <c r="A495" s="59" t="s">
        <v>183</v>
      </c>
      <c r="B495" s="60">
        <v>45410</v>
      </c>
      <c r="C495" s="54">
        <v>194.52096379456924</v>
      </c>
      <c r="D495" s="54">
        <v>194.52096379456924</v>
      </c>
      <c r="E495"/>
      <c r="F495"/>
      <c r="G495" t="e">
        <v>#N/A</v>
      </c>
      <c r="H495" s="54">
        <v>375</v>
      </c>
      <c r="I495" s="54">
        <v>121</v>
      </c>
      <c r="J495" s="54">
        <v>495</v>
      </c>
      <c r="K495" s="54">
        <v>494</v>
      </c>
      <c r="L495" s="54" t="e">
        <v>#N/A</v>
      </c>
      <c r="M495" s="54" t="s">
        <v>156</v>
      </c>
      <c r="N495" s="54" t="s">
        <v>156</v>
      </c>
      <c r="O495" s="54" t="s">
        <v>156</v>
      </c>
    </row>
    <row r="496" spans="1:15" x14ac:dyDescent="0.35">
      <c r="A496" s="59" t="s">
        <v>183</v>
      </c>
      <c r="B496" s="60">
        <v>45417</v>
      </c>
      <c r="C496" s="54">
        <v>160.02137141716941</v>
      </c>
      <c r="D496" s="54">
        <v>160.02137141716941</v>
      </c>
      <c r="E496"/>
      <c r="F496"/>
      <c r="G496" t="e">
        <v>#N/A</v>
      </c>
      <c r="H496" s="54">
        <v>375</v>
      </c>
      <c r="I496" s="54">
        <v>122</v>
      </c>
      <c r="J496" s="54">
        <v>496</v>
      </c>
      <c r="K496" s="54">
        <v>495</v>
      </c>
      <c r="L496" s="54" t="e">
        <v>#N/A</v>
      </c>
      <c r="M496" s="54" t="s">
        <v>156</v>
      </c>
      <c r="N496" s="54" t="s">
        <v>156</v>
      </c>
      <c r="O496" s="54" t="s">
        <v>156</v>
      </c>
    </row>
    <row r="497" spans="1:15" x14ac:dyDescent="0.35">
      <c r="A497" s="59" t="s">
        <v>183</v>
      </c>
      <c r="B497" s="60">
        <v>45424</v>
      </c>
      <c r="C497" s="54">
        <v>205.5155635365951</v>
      </c>
      <c r="D497" s="54">
        <v>205.5155635365951</v>
      </c>
      <c r="E497"/>
      <c r="F497"/>
      <c r="G497" t="e">
        <v>#N/A</v>
      </c>
      <c r="H497" s="54">
        <v>375</v>
      </c>
      <c r="I497" s="54">
        <v>123</v>
      </c>
      <c r="J497" s="54">
        <v>497</v>
      </c>
      <c r="K497" s="54">
        <v>496</v>
      </c>
      <c r="L497" s="54" t="e">
        <v>#N/A</v>
      </c>
      <c r="M497" s="54" t="s">
        <v>156</v>
      </c>
      <c r="N497" s="54" t="s">
        <v>156</v>
      </c>
      <c r="O497" s="54" t="s">
        <v>156</v>
      </c>
    </row>
    <row r="498" spans="1:15" x14ac:dyDescent="0.35">
      <c r="A498" s="59" t="s">
        <v>183</v>
      </c>
      <c r="B498" s="60">
        <v>45431</v>
      </c>
      <c r="C498" s="54">
        <v>148.43319370757641</v>
      </c>
      <c r="D498" s="54">
        <v>148.43319370757641</v>
      </c>
      <c r="E498"/>
      <c r="F498"/>
      <c r="G498" t="e">
        <v>#N/A</v>
      </c>
      <c r="H498" s="54">
        <v>375</v>
      </c>
      <c r="I498" s="54">
        <v>124</v>
      </c>
      <c r="J498" s="54">
        <v>498</v>
      </c>
      <c r="K498" s="54">
        <v>497</v>
      </c>
      <c r="L498" s="54" t="e">
        <v>#N/A</v>
      </c>
      <c r="M498" s="54" t="s">
        <v>156</v>
      </c>
      <c r="N498" s="54" t="s">
        <v>156</v>
      </c>
      <c r="O498" s="54" t="s">
        <v>156</v>
      </c>
    </row>
    <row r="499" spans="1:15" x14ac:dyDescent="0.35">
      <c r="A499" s="59" t="s">
        <v>183</v>
      </c>
      <c r="B499" s="60">
        <v>45438</v>
      </c>
      <c r="C499" s="54">
        <v>186.99959504082133</v>
      </c>
      <c r="D499" s="54">
        <v>186.99959504082133</v>
      </c>
      <c r="E499"/>
      <c r="F499"/>
      <c r="G499" t="e">
        <v>#N/A</v>
      </c>
      <c r="H499" s="54">
        <v>375</v>
      </c>
      <c r="I499" s="54">
        <v>125</v>
      </c>
      <c r="J499" s="54">
        <v>499</v>
      </c>
      <c r="K499" s="54">
        <v>498</v>
      </c>
      <c r="L499" s="54" t="e">
        <v>#N/A</v>
      </c>
      <c r="M499" s="54" t="s">
        <v>156</v>
      </c>
      <c r="N499" s="54" t="s">
        <v>156</v>
      </c>
      <c r="O499" s="54" t="s">
        <v>156</v>
      </c>
    </row>
    <row r="500" spans="1:15" x14ac:dyDescent="0.35">
      <c r="A500" s="59" t="s">
        <v>183</v>
      </c>
      <c r="B500" s="60">
        <v>45445</v>
      </c>
      <c r="C500" s="54">
        <v>217.67040745082272</v>
      </c>
      <c r="D500" s="54">
        <v>217.67040745082272</v>
      </c>
      <c r="E500"/>
      <c r="F500"/>
      <c r="G500" t="e">
        <v>#N/A</v>
      </c>
      <c r="H500" s="54">
        <v>375</v>
      </c>
      <c r="I500" s="54">
        <v>126</v>
      </c>
      <c r="J500" s="54">
        <v>500</v>
      </c>
      <c r="K500" s="54">
        <v>499</v>
      </c>
      <c r="L500" s="54" t="e">
        <v>#N/A</v>
      </c>
      <c r="M500" s="54" t="s">
        <v>156</v>
      </c>
      <c r="N500" s="54" t="s">
        <v>156</v>
      </c>
      <c r="O500" s="54" t="s">
        <v>156</v>
      </c>
    </row>
    <row r="501" spans="1:15" x14ac:dyDescent="0.35">
      <c r="A501" s="59" t="s">
        <v>183</v>
      </c>
      <c r="B501" s="60">
        <v>45452</v>
      </c>
      <c r="C501" s="54">
        <v>152.48373693826161</v>
      </c>
      <c r="D501" s="54">
        <v>152.48373693826161</v>
      </c>
      <c r="E501"/>
      <c r="F501"/>
      <c r="G501" t="e">
        <v>#N/A</v>
      </c>
      <c r="H501" s="54">
        <v>375</v>
      </c>
      <c r="I501" s="54">
        <v>127</v>
      </c>
      <c r="J501" s="54">
        <v>501</v>
      </c>
      <c r="K501" s="54">
        <v>500</v>
      </c>
      <c r="L501" s="54" t="e">
        <v>#N/A</v>
      </c>
      <c r="M501" s="54" t="s">
        <v>156</v>
      </c>
      <c r="N501" s="54" t="s">
        <v>156</v>
      </c>
      <c r="O501" s="54" t="s">
        <v>156</v>
      </c>
    </row>
    <row r="502" spans="1:15" x14ac:dyDescent="0.35">
      <c r="A502" s="59" t="s">
        <v>183</v>
      </c>
      <c r="B502" s="60">
        <v>45459</v>
      </c>
      <c r="C502" s="54">
        <v>159.26614314879529</v>
      </c>
      <c r="D502" s="54">
        <v>159.26614314879529</v>
      </c>
      <c r="E502"/>
      <c r="F502"/>
      <c r="G502" t="e">
        <v>#N/A</v>
      </c>
      <c r="H502" s="54">
        <v>375</v>
      </c>
      <c r="I502" s="54">
        <v>128</v>
      </c>
      <c r="J502" s="54">
        <v>502</v>
      </c>
      <c r="K502" s="54">
        <v>501</v>
      </c>
      <c r="L502" s="54" t="e">
        <v>#N/A</v>
      </c>
      <c r="M502" s="54" t="s">
        <v>156</v>
      </c>
      <c r="N502" s="54" t="s">
        <v>156</v>
      </c>
      <c r="O502" s="54" t="s">
        <v>156</v>
      </c>
    </row>
    <row r="503" spans="1:15" x14ac:dyDescent="0.35">
      <c r="A503" s="59" t="s">
        <v>183</v>
      </c>
      <c r="B503" s="60">
        <v>45466</v>
      </c>
      <c r="C503" s="54">
        <v>170.77934058750401</v>
      </c>
      <c r="D503" s="54">
        <v>170.77934058750401</v>
      </c>
      <c r="E503"/>
      <c r="F503"/>
      <c r="G503" t="e">
        <v>#N/A</v>
      </c>
      <c r="H503" s="54">
        <v>375</v>
      </c>
      <c r="I503" s="54">
        <v>129</v>
      </c>
      <c r="J503" s="54">
        <v>503</v>
      </c>
      <c r="K503" s="54">
        <v>502</v>
      </c>
      <c r="L503" s="54" t="e">
        <v>#N/A</v>
      </c>
      <c r="M503" s="54" t="s">
        <v>156</v>
      </c>
      <c r="N503" s="54" t="s">
        <v>156</v>
      </c>
      <c r="O503" s="54" t="s">
        <v>156</v>
      </c>
    </row>
    <row r="504" spans="1:15" x14ac:dyDescent="0.35">
      <c r="A504" s="59" t="s">
        <v>183</v>
      </c>
      <c r="B504" s="60">
        <v>45473</v>
      </c>
      <c r="C504" s="54">
        <v>156.84122052278249</v>
      </c>
      <c r="D504" s="54">
        <v>156.84122052278249</v>
      </c>
      <c r="E504"/>
      <c r="F504"/>
      <c r="G504" t="e">
        <v>#N/A</v>
      </c>
      <c r="H504" s="54">
        <v>375</v>
      </c>
      <c r="I504" s="54">
        <v>130</v>
      </c>
      <c r="J504" s="54">
        <v>504</v>
      </c>
      <c r="K504" s="54">
        <v>503</v>
      </c>
      <c r="L504" s="54" t="e">
        <v>#N/A</v>
      </c>
      <c r="M504" s="54" t="s">
        <v>156</v>
      </c>
      <c r="N504" s="54" t="s">
        <v>156</v>
      </c>
      <c r="O504" s="54" t="s">
        <v>156</v>
      </c>
    </row>
    <row r="505" spans="1:15" x14ac:dyDescent="0.35">
      <c r="A505" s="59" t="s">
        <v>183</v>
      </c>
      <c r="B505" s="60">
        <v>45480</v>
      </c>
      <c r="C505" s="54">
        <v>133.98673137867735</v>
      </c>
      <c r="D505" s="54">
        <v>133.98673137867735</v>
      </c>
      <c r="E505"/>
      <c r="F505"/>
      <c r="G505" t="e">
        <v>#N/A</v>
      </c>
      <c r="H505" s="54">
        <v>375</v>
      </c>
      <c r="I505" s="54">
        <v>131</v>
      </c>
      <c r="J505" s="54">
        <v>505</v>
      </c>
      <c r="K505" s="54">
        <v>504</v>
      </c>
      <c r="L505" s="54" t="e">
        <v>#N/A</v>
      </c>
      <c r="M505" s="54" t="s">
        <v>156</v>
      </c>
      <c r="N505" s="54" t="s">
        <v>156</v>
      </c>
      <c r="O505" s="54" t="s">
        <v>156</v>
      </c>
    </row>
    <row r="506" spans="1:15" x14ac:dyDescent="0.35">
      <c r="A506" s="59" t="s">
        <v>183</v>
      </c>
      <c r="B506" s="60">
        <v>45487</v>
      </c>
      <c r="C506" s="54">
        <v>164.46052589101407</v>
      </c>
      <c r="D506" s="54">
        <v>164.46052589101407</v>
      </c>
      <c r="E506"/>
      <c r="F506"/>
      <c r="G506" t="e">
        <v>#N/A</v>
      </c>
      <c r="H506" s="54">
        <v>375</v>
      </c>
      <c r="I506" s="54">
        <v>132</v>
      </c>
      <c r="J506" s="54">
        <v>506</v>
      </c>
      <c r="K506" s="54">
        <v>505</v>
      </c>
      <c r="L506" s="54" t="e">
        <v>#N/A</v>
      </c>
      <c r="M506" s="54" t="s">
        <v>156</v>
      </c>
      <c r="N506" s="54" t="s">
        <v>156</v>
      </c>
      <c r="O506" s="54" t="s">
        <v>156</v>
      </c>
    </row>
    <row r="507" spans="1:15" x14ac:dyDescent="0.35">
      <c r="A507" s="59" t="s">
        <v>183</v>
      </c>
      <c r="B507" s="60">
        <v>45494</v>
      </c>
      <c r="C507" s="54">
        <v>139.96761243972674</v>
      </c>
      <c r="D507" s="54">
        <v>139.96761243972674</v>
      </c>
      <c r="E507"/>
      <c r="F507"/>
      <c r="G507" t="e">
        <v>#N/A</v>
      </c>
      <c r="H507" s="54">
        <v>375</v>
      </c>
      <c r="I507" s="54">
        <v>133</v>
      </c>
      <c r="J507" s="54">
        <v>507</v>
      </c>
      <c r="K507" s="54">
        <v>506</v>
      </c>
      <c r="L507" s="54" t="e">
        <v>#N/A</v>
      </c>
      <c r="M507" s="54" t="s">
        <v>156</v>
      </c>
      <c r="N507" s="54" t="s">
        <v>156</v>
      </c>
      <c r="O507" s="54" t="s">
        <v>156</v>
      </c>
    </row>
    <row r="508" spans="1:15" x14ac:dyDescent="0.35">
      <c r="A508" s="59" t="s">
        <v>183</v>
      </c>
      <c r="B508" s="60">
        <v>45501</v>
      </c>
      <c r="C508" s="54">
        <v>168.87975087185293</v>
      </c>
      <c r="D508" s="54">
        <v>168.87975087185293</v>
      </c>
      <c r="E508"/>
      <c r="F508"/>
      <c r="G508" t="e">
        <v>#N/A</v>
      </c>
      <c r="H508" s="54">
        <v>375</v>
      </c>
      <c r="I508" s="54">
        <v>134</v>
      </c>
      <c r="J508" s="54">
        <v>508</v>
      </c>
      <c r="K508" s="54">
        <v>507</v>
      </c>
      <c r="L508" s="54" t="e">
        <v>#N/A</v>
      </c>
      <c r="M508" s="54" t="s">
        <v>156</v>
      </c>
      <c r="N508" s="54" t="s">
        <v>156</v>
      </c>
      <c r="O508" s="54" t="s">
        <v>156</v>
      </c>
    </row>
    <row r="509" spans="1:15" x14ac:dyDescent="0.35">
      <c r="A509" s="59" t="s">
        <v>183</v>
      </c>
      <c r="B509" s="60">
        <v>45508</v>
      </c>
      <c r="C509" s="54">
        <v>139.31705187444857</v>
      </c>
      <c r="D509" s="54">
        <v>139.31705187444857</v>
      </c>
      <c r="E509"/>
      <c r="F509"/>
      <c r="G509" t="e">
        <v>#N/A</v>
      </c>
      <c r="H509" s="54">
        <v>375</v>
      </c>
      <c r="I509" s="54">
        <v>135</v>
      </c>
      <c r="J509" s="54">
        <v>509</v>
      </c>
      <c r="K509" s="54">
        <v>508</v>
      </c>
      <c r="L509" s="54" t="e">
        <v>#N/A</v>
      </c>
      <c r="M509" s="54" t="s">
        <v>156</v>
      </c>
      <c r="N509" s="54" t="s">
        <v>156</v>
      </c>
      <c r="O509" s="54" t="s">
        <v>156</v>
      </c>
    </row>
    <row r="510" spans="1:15" x14ac:dyDescent="0.35">
      <c r="A510" s="59" t="s">
        <v>183</v>
      </c>
      <c r="B510" s="60">
        <v>45515</v>
      </c>
      <c r="C510" s="54">
        <v>187.1373931657277</v>
      </c>
      <c r="D510" s="54">
        <v>187.1373931657277</v>
      </c>
      <c r="E510"/>
      <c r="F510"/>
      <c r="G510" t="e">
        <v>#N/A</v>
      </c>
      <c r="H510" s="54">
        <v>375</v>
      </c>
      <c r="I510" s="54">
        <v>136</v>
      </c>
      <c r="J510" s="54">
        <v>510</v>
      </c>
      <c r="K510" s="54">
        <v>509</v>
      </c>
      <c r="L510" s="54" t="e">
        <v>#N/A</v>
      </c>
      <c r="M510" s="54" t="s">
        <v>156</v>
      </c>
      <c r="N510" s="54" t="s">
        <v>156</v>
      </c>
      <c r="O510" s="54" t="s">
        <v>156</v>
      </c>
    </row>
    <row r="511" spans="1:15" x14ac:dyDescent="0.35">
      <c r="A511" s="59" t="s">
        <v>183</v>
      </c>
      <c r="B511" s="60">
        <v>45522</v>
      </c>
      <c r="C511" s="54">
        <v>139.07248098845938</v>
      </c>
      <c r="D511" s="54">
        <v>139.07248098845938</v>
      </c>
      <c r="E511"/>
      <c r="F511"/>
      <c r="G511" t="e">
        <v>#N/A</v>
      </c>
      <c r="H511" s="54">
        <v>375</v>
      </c>
      <c r="I511" s="54">
        <v>137</v>
      </c>
      <c r="J511" s="54">
        <v>511</v>
      </c>
      <c r="K511" s="54">
        <v>510</v>
      </c>
      <c r="L511" s="54" t="e">
        <v>#N/A</v>
      </c>
      <c r="M511" s="54" t="s">
        <v>156</v>
      </c>
      <c r="N511" s="54" t="s">
        <v>156</v>
      </c>
      <c r="O511" s="54" t="s">
        <v>156</v>
      </c>
    </row>
    <row r="512" spans="1:15" x14ac:dyDescent="0.35">
      <c r="A512" s="59" t="s">
        <v>183</v>
      </c>
      <c r="B512" s="60">
        <v>45529</v>
      </c>
      <c r="C512" s="54">
        <v>147.08855471246446</v>
      </c>
      <c r="D512" s="54">
        <v>147.08855471246446</v>
      </c>
      <c r="E512"/>
      <c r="F512"/>
      <c r="G512" t="e">
        <v>#N/A</v>
      </c>
      <c r="H512" s="54">
        <v>375</v>
      </c>
      <c r="I512" s="54">
        <v>138</v>
      </c>
      <c r="J512" s="54">
        <v>512</v>
      </c>
      <c r="K512" s="54">
        <v>511</v>
      </c>
      <c r="L512" s="54" t="e">
        <v>#N/A</v>
      </c>
      <c r="M512" s="54" t="s">
        <v>156</v>
      </c>
      <c r="N512" s="54" t="s">
        <v>156</v>
      </c>
      <c r="O512" s="54" t="s">
        <v>156</v>
      </c>
    </row>
    <row r="513" spans="1:15" x14ac:dyDescent="0.35">
      <c r="A513" s="59" t="s">
        <v>183</v>
      </c>
      <c r="B513" s="60">
        <v>45536</v>
      </c>
      <c r="C513" s="54">
        <v>168.81066702952029</v>
      </c>
      <c r="D513" s="54">
        <v>168.81066702952029</v>
      </c>
      <c r="E513"/>
      <c r="F513"/>
      <c r="G513" t="e">
        <v>#N/A</v>
      </c>
      <c r="H513" s="54">
        <v>375</v>
      </c>
      <c r="I513" s="54">
        <v>139</v>
      </c>
      <c r="J513" s="54">
        <v>513</v>
      </c>
      <c r="K513" s="54">
        <v>512</v>
      </c>
      <c r="L513" s="54" t="e">
        <v>#N/A</v>
      </c>
      <c r="M513" s="54" t="s">
        <v>156</v>
      </c>
      <c r="N513" s="54" t="s">
        <v>156</v>
      </c>
      <c r="O513" s="54" t="s">
        <v>156</v>
      </c>
    </row>
    <row r="514" spans="1:15" x14ac:dyDescent="0.35">
      <c r="A514" s="59" t="s">
        <v>183</v>
      </c>
      <c r="B514" s="60">
        <v>45543</v>
      </c>
      <c r="C514" s="54">
        <v>127.17359315825671</v>
      </c>
      <c r="D514" s="54">
        <v>127.17359315825671</v>
      </c>
      <c r="E514"/>
      <c r="F514"/>
      <c r="G514" t="e">
        <v>#N/A</v>
      </c>
      <c r="H514" s="54">
        <v>375</v>
      </c>
      <c r="I514" s="54">
        <v>140</v>
      </c>
      <c r="J514" s="54">
        <v>514</v>
      </c>
      <c r="K514" s="54">
        <v>513</v>
      </c>
      <c r="L514" s="54" t="e">
        <v>#N/A</v>
      </c>
      <c r="M514" s="54" t="s">
        <v>156</v>
      </c>
      <c r="N514" s="54" t="s">
        <v>156</v>
      </c>
      <c r="O514" s="54" t="s">
        <v>156</v>
      </c>
    </row>
    <row r="515" spans="1:15" x14ac:dyDescent="0.35">
      <c r="A515" s="59" t="s">
        <v>183</v>
      </c>
      <c r="B515" s="60">
        <v>45550</v>
      </c>
      <c r="C515" s="54">
        <v>155.84887383837432</v>
      </c>
      <c r="D515" s="54">
        <v>155.84887383837432</v>
      </c>
      <c r="E515"/>
      <c r="F515"/>
      <c r="G515" t="e">
        <v>#N/A</v>
      </c>
      <c r="H515" s="54">
        <v>375</v>
      </c>
      <c r="I515" s="54">
        <v>141</v>
      </c>
      <c r="J515" s="54">
        <v>515</v>
      </c>
      <c r="K515" s="54">
        <v>514</v>
      </c>
      <c r="L515" s="54" t="e">
        <v>#N/A</v>
      </c>
      <c r="M515" s="54" t="s">
        <v>156</v>
      </c>
      <c r="N515" s="54" t="s">
        <v>156</v>
      </c>
      <c r="O515" s="54" t="s">
        <v>156</v>
      </c>
    </row>
    <row r="516" spans="1:15" x14ac:dyDescent="0.35">
      <c r="A516" s="59" t="s">
        <v>183</v>
      </c>
      <c r="B516" s="60">
        <v>45557</v>
      </c>
      <c r="C516" s="54">
        <v>177.22401873712752</v>
      </c>
      <c r="D516" s="54">
        <v>177.22401873712752</v>
      </c>
      <c r="E516"/>
      <c r="F516"/>
      <c r="G516" t="e">
        <v>#N/A</v>
      </c>
      <c r="H516" s="54">
        <v>375</v>
      </c>
      <c r="I516" s="54">
        <v>142</v>
      </c>
      <c r="J516" s="54">
        <v>516</v>
      </c>
      <c r="K516" s="54">
        <v>515</v>
      </c>
      <c r="L516" s="54" t="e">
        <v>#N/A</v>
      </c>
      <c r="M516" s="54" t="s">
        <v>156</v>
      </c>
      <c r="N516" s="54" t="s">
        <v>156</v>
      </c>
      <c r="O516" s="54" t="s">
        <v>156</v>
      </c>
    </row>
    <row r="517" spans="1:15" x14ac:dyDescent="0.35">
      <c r="A517" s="59" t="s">
        <v>183</v>
      </c>
      <c r="B517" s="60">
        <v>45564</v>
      </c>
      <c r="C517" s="54">
        <v>118.99615782681437</v>
      </c>
      <c r="D517" s="54">
        <v>118.99615782681437</v>
      </c>
      <c r="E517"/>
      <c r="F517"/>
      <c r="G517" t="e">
        <v>#N/A</v>
      </c>
      <c r="H517" s="54">
        <v>375</v>
      </c>
      <c r="I517" s="54">
        <v>143</v>
      </c>
      <c r="J517" s="54">
        <v>517</v>
      </c>
      <c r="K517" s="54">
        <v>516</v>
      </c>
      <c r="L517" s="54" t="e">
        <v>#N/A</v>
      </c>
      <c r="M517" s="54" t="s">
        <v>156</v>
      </c>
      <c r="N517" s="54" t="s">
        <v>156</v>
      </c>
      <c r="O517" s="54" t="s">
        <v>156</v>
      </c>
    </row>
    <row r="518" spans="1:15" x14ac:dyDescent="0.35">
      <c r="A518" s="59" t="s">
        <v>183</v>
      </c>
      <c r="B518" s="60">
        <v>45571</v>
      </c>
      <c r="C518" s="54">
        <v>155.19267717064608</v>
      </c>
      <c r="D518" s="54">
        <v>155.19267717064608</v>
      </c>
      <c r="E518"/>
      <c r="F518"/>
      <c r="G518" t="e">
        <v>#N/A</v>
      </c>
      <c r="H518" s="54">
        <v>375</v>
      </c>
      <c r="I518" s="54">
        <v>144</v>
      </c>
      <c r="J518" s="54">
        <v>518</v>
      </c>
      <c r="K518" s="54">
        <v>517</v>
      </c>
      <c r="L518" s="54" t="e">
        <v>#N/A</v>
      </c>
      <c r="M518" s="54" t="s">
        <v>156</v>
      </c>
      <c r="N518" s="54" t="s">
        <v>156</v>
      </c>
      <c r="O518" s="54" t="s">
        <v>156</v>
      </c>
    </row>
    <row r="519" spans="1:15" x14ac:dyDescent="0.35">
      <c r="A519" s="59" t="s">
        <v>183</v>
      </c>
      <c r="B519" s="60">
        <v>45578</v>
      </c>
      <c r="C519" s="54">
        <v>157.3434784030074</v>
      </c>
      <c r="D519" s="54">
        <v>157.3434784030074</v>
      </c>
      <c r="E519"/>
      <c r="F519"/>
      <c r="G519" t="e">
        <v>#N/A</v>
      </c>
      <c r="H519" s="54">
        <v>375</v>
      </c>
      <c r="I519" s="54">
        <v>145</v>
      </c>
      <c r="J519" s="54">
        <v>519</v>
      </c>
      <c r="K519" s="54">
        <v>518</v>
      </c>
      <c r="L519" s="54" t="e">
        <v>#N/A</v>
      </c>
      <c r="M519" s="54" t="s">
        <v>156</v>
      </c>
      <c r="N519" s="54" t="s">
        <v>156</v>
      </c>
      <c r="O519" s="54" t="s">
        <v>156</v>
      </c>
    </row>
    <row r="520" spans="1:15" x14ac:dyDescent="0.35">
      <c r="A520" s="59" t="s">
        <v>183</v>
      </c>
      <c r="B520" s="60">
        <v>45585</v>
      </c>
      <c r="C520" s="54">
        <v>168.71762108702518</v>
      </c>
      <c r="D520" s="54">
        <v>168.71762108702518</v>
      </c>
      <c r="E520"/>
      <c r="F520"/>
      <c r="G520" t="e">
        <v>#N/A</v>
      </c>
      <c r="H520" s="54">
        <v>375</v>
      </c>
      <c r="I520" s="54">
        <v>146</v>
      </c>
      <c r="J520" s="54">
        <v>520</v>
      </c>
      <c r="K520" s="54">
        <v>519</v>
      </c>
      <c r="L520" s="54" t="e">
        <v>#N/A</v>
      </c>
      <c r="M520" s="54" t="s">
        <v>156</v>
      </c>
      <c r="N520" s="54" t="s">
        <v>156</v>
      </c>
      <c r="O520" s="54" t="s">
        <v>156</v>
      </c>
    </row>
    <row r="521" spans="1:15" x14ac:dyDescent="0.35">
      <c r="A521" s="59" t="s">
        <v>183</v>
      </c>
      <c r="B521" s="60">
        <v>45592</v>
      </c>
      <c r="C521" s="54">
        <v>129.56066092873004</v>
      </c>
      <c r="D521" s="54">
        <v>129.56066092873004</v>
      </c>
      <c r="E521"/>
      <c r="F521"/>
      <c r="G521" t="e">
        <v>#N/A</v>
      </c>
      <c r="H521" s="54">
        <v>375</v>
      </c>
      <c r="I521" s="54">
        <v>147</v>
      </c>
      <c r="J521" s="54">
        <v>521</v>
      </c>
      <c r="K521" s="54">
        <v>520</v>
      </c>
      <c r="L521" s="54" t="e">
        <v>#N/A</v>
      </c>
      <c r="M521" s="54" t="s">
        <v>156</v>
      </c>
      <c r="N521" s="54" t="s">
        <v>156</v>
      </c>
      <c r="O521" s="54" t="s">
        <v>156</v>
      </c>
    </row>
    <row r="522" spans="1:15" x14ac:dyDescent="0.35">
      <c r="A522" s="59" t="s">
        <v>183</v>
      </c>
      <c r="B522" s="60">
        <v>45599</v>
      </c>
      <c r="C522" s="54">
        <v>129.38174722525028</v>
      </c>
      <c r="D522" s="54">
        <v>129.38174722525028</v>
      </c>
      <c r="E522"/>
      <c r="F522"/>
      <c r="G522" t="e">
        <v>#N/A</v>
      </c>
      <c r="H522" s="54">
        <v>375</v>
      </c>
      <c r="I522" s="54">
        <v>148</v>
      </c>
      <c r="J522" s="54">
        <v>522</v>
      </c>
      <c r="K522" s="54">
        <v>521</v>
      </c>
      <c r="L522" s="54" t="e">
        <v>#N/A</v>
      </c>
      <c r="M522" s="54" t="s">
        <v>156</v>
      </c>
      <c r="N522" s="54" t="s">
        <v>156</v>
      </c>
      <c r="O522" s="54" t="s">
        <v>156</v>
      </c>
    </row>
    <row r="523" spans="1:15" x14ac:dyDescent="0.35">
      <c r="A523" s="59" t="s">
        <v>183</v>
      </c>
      <c r="B523" s="60">
        <v>45606</v>
      </c>
      <c r="C523" s="54">
        <v>167.97915399446484</v>
      </c>
      <c r="D523" s="54">
        <v>167.97915399446484</v>
      </c>
      <c r="E523"/>
      <c r="F523"/>
      <c r="G523" t="e">
        <v>#N/A</v>
      </c>
      <c r="H523" s="54">
        <v>375</v>
      </c>
      <c r="I523" s="54">
        <v>149</v>
      </c>
      <c r="J523" s="54">
        <v>523</v>
      </c>
      <c r="K523" s="54">
        <v>522</v>
      </c>
      <c r="L523" s="54" t="e">
        <v>#N/A</v>
      </c>
      <c r="M523" s="54" t="s">
        <v>156</v>
      </c>
      <c r="N523" s="54" t="s">
        <v>156</v>
      </c>
      <c r="O523" s="54" t="s">
        <v>156</v>
      </c>
    </row>
    <row r="524" spans="1:15" x14ac:dyDescent="0.35">
      <c r="A524" s="59" t="s">
        <v>183</v>
      </c>
      <c r="B524" s="60">
        <v>45613</v>
      </c>
      <c r="C524" s="54">
        <v>165.46947850124167</v>
      </c>
      <c r="D524" s="54">
        <v>165.46947850124167</v>
      </c>
      <c r="E524"/>
      <c r="F524"/>
      <c r="G524" t="e">
        <v>#N/A</v>
      </c>
      <c r="H524" s="54">
        <v>375</v>
      </c>
      <c r="I524" s="54">
        <v>150</v>
      </c>
      <c r="J524" s="54">
        <v>524</v>
      </c>
      <c r="K524" s="54">
        <v>523</v>
      </c>
      <c r="L524" s="54" t="e">
        <v>#N/A</v>
      </c>
      <c r="M524" s="54" t="s">
        <v>156</v>
      </c>
      <c r="N524" s="54" t="s">
        <v>156</v>
      </c>
      <c r="O524" s="54" t="s">
        <v>156</v>
      </c>
    </row>
    <row r="525" spans="1:15" x14ac:dyDescent="0.35">
      <c r="A525" s="59" t="s">
        <v>183</v>
      </c>
      <c r="B525" s="60">
        <v>45620</v>
      </c>
      <c r="C525" s="54">
        <v>166.74740384210162</v>
      </c>
      <c r="D525" s="54">
        <v>166.74740384210162</v>
      </c>
      <c r="E525"/>
      <c r="F525"/>
      <c r="G525" t="e">
        <v>#N/A</v>
      </c>
      <c r="H525" s="54">
        <v>375</v>
      </c>
      <c r="I525" s="54">
        <v>151</v>
      </c>
      <c r="J525" s="54">
        <v>525</v>
      </c>
      <c r="K525" s="54">
        <v>524</v>
      </c>
      <c r="L525" s="54" t="e">
        <v>#N/A</v>
      </c>
      <c r="M525" s="54" t="s">
        <v>156</v>
      </c>
      <c r="N525" s="54" t="s">
        <v>156</v>
      </c>
      <c r="O525" s="54" t="s">
        <v>156</v>
      </c>
    </row>
    <row r="526" spans="1:15" x14ac:dyDescent="0.35">
      <c r="A526" s="59" t="s">
        <v>183</v>
      </c>
      <c r="B526" s="60">
        <v>45627</v>
      </c>
      <c r="C526" s="54">
        <v>171.06766925531639</v>
      </c>
      <c r="D526" s="54">
        <v>171.06766925531639</v>
      </c>
      <c r="E526"/>
      <c r="F526"/>
      <c r="G526" t="e">
        <v>#N/A</v>
      </c>
      <c r="H526" s="54">
        <v>375</v>
      </c>
      <c r="I526" s="54">
        <v>152</v>
      </c>
      <c r="J526" s="54">
        <v>526</v>
      </c>
      <c r="K526" s="54">
        <v>525</v>
      </c>
      <c r="L526" s="54" t="e">
        <v>#N/A</v>
      </c>
      <c r="M526" s="54" t="s">
        <v>156</v>
      </c>
      <c r="N526" s="54" t="s">
        <v>156</v>
      </c>
      <c r="O526" s="54" t="s">
        <v>156</v>
      </c>
    </row>
    <row r="527" spans="1:15" x14ac:dyDescent="0.35">
      <c r="A527" s="59" t="s">
        <v>183</v>
      </c>
      <c r="B527" s="60">
        <v>45634</v>
      </c>
      <c r="C527" s="54">
        <v>153.10504212755478</v>
      </c>
      <c r="D527" s="54">
        <v>153.10504212755478</v>
      </c>
      <c r="E527"/>
      <c r="F527"/>
      <c r="G527" t="e">
        <v>#N/A</v>
      </c>
      <c r="H527" s="54">
        <v>375</v>
      </c>
      <c r="I527" s="54">
        <v>153</v>
      </c>
      <c r="J527" s="54">
        <v>527</v>
      </c>
      <c r="K527" s="54">
        <v>526</v>
      </c>
      <c r="L527" s="54" t="e">
        <v>#N/A</v>
      </c>
      <c r="M527" s="54" t="s">
        <v>156</v>
      </c>
      <c r="N527" s="54" t="s">
        <v>156</v>
      </c>
      <c r="O527" s="54" t="s">
        <v>156</v>
      </c>
    </row>
    <row r="528" spans="1:15" x14ac:dyDescent="0.35">
      <c r="A528" s="59" t="s">
        <v>183</v>
      </c>
      <c r="B528" s="60">
        <v>45641</v>
      </c>
      <c r="C528" s="54">
        <v>174.05297620236934</v>
      </c>
      <c r="D528" s="54">
        <v>174.05297620236934</v>
      </c>
      <c r="E528"/>
      <c r="F528"/>
      <c r="G528" t="e">
        <v>#N/A</v>
      </c>
      <c r="H528" s="54">
        <v>375</v>
      </c>
      <c r="I528" s="54">
        <v>154</v>
      </c>
      <c r="J528" s="54">
        <v>528</v>
      </c>
      <c r="K528" s="54">
        <v>527</v>
      </c>
      <c r="L528" s="54" t="e">
        <v>#N/A</v>
      </c>
      <c r="M528" s="54" t="s">
        <v>156</v>
      </c>
      <c r="N528" s="54" t="s">
        <v>156</v>
      </c>
      <c r="O528" s="54" t="s">
        <v>156</v>
      </c>
    </row>
    <row r="529" spans="1:15" x14ac:dyDescent="0.35">
      <c r="A529" s="59" t="s">
        <v>183</v>
      </c>
      <c r="B529" s="60">
        <v>45648</v>
      </c>
      <c r="C529" s="54">
        <v>178.0751361802225</v>
      </c>
      <c r="D529" s="54">
        <v>178.0751361802225</v>
      </c>
      <c r="E529"/>
      <c r="F529"/>
      <c r="G529" t="e">
        <v>#N/A</v>
      </c>
      <c r="H529" s="54">
        <v>375</v>
      </c>
      <c r="I529" s="54">
        <v>155</v>
      </c>
      <c r="J529" s="54">
        <v>529</v>
      </c>
      <c r="K529" s="54">
        <v>528</v>
      </c>
      <c r="L529" s="54" t="e">
        <v>#N/A</v>
      </c>
      <c r="M529" s="54" t="s">
        <v>156</v>
      </c>
      <c r="N529" s="54" t="s">
        <v>156</v>
      </c>
      <c r="O529" s="54" t="s">
        <v>156</v>
      </c>
    </row>
    <row r="530" spans="1:15" x14ac:dyDescent="0.35">
      <c r="A530" s="59" t="s">
        <v>183</v>
      </c>
      <c r="B530" s="60">
        <v>45655</v>
      </c>
      <c r="C530" s="54">
        <v>160.80223803436616</v>
      </c>
      <c r="D530" s="54">
        <v>160.80223803436616</v>
      </c>
      <c r="E530"/>
      <c r="F530"/>
      <c r="G530" t="e">
        <v>#N/A</v>
      </c>
      <c r="H530" s="54">
        <v>375</v>
      </c>
      <c r="I530" s="54">
        <v>156</v>
      </c>
      <c r="J530" s="54">
        <v>530</v>
      </c>
      <c r="K530" s="54">
        <v>529</v>
      </c>
      <c r="L530" s="54" t="e">
        <v>#N/A</v>
      </c>
      <c r="M530" s="54" t="s">
        <v>156</v>
      </c>
      <c r="N530" s="54" t="s">
        <v>156</v>
      </c>
      <c r="O530" s="54" t="s">
        <v>156</v>
      </c>
    </row>
    <row r="531" spans="1:15" x14ac:dyDescent="0.35">
      <c r="A531" s="59" t="s">
        <v>183</v>
      </c>
      <c r="B531" s="60">
        <v>45662</v>
      </c>
      <c r="C531" s="54">
        <v>215.31549022289511</v>
      </c>
      <c r="D531" s="54"/>
      <c r="E531">
        <v>215.31549022289511</v>
      </c>
      <c r="F531">
        <v>180.36894071536443</v>
      </c>
      <c r="G531">
        <v>164.09739843155361</v>
      </c>
      <c r="H531" s="54">
        <v>375</v>
      </c>
      <c r="I531" s="54" t="s">
        <v>156</v>
      </c>
      <c r="J531" s="54">
        <v>530</v>
      </c>
      <c r="K531" s="54">
        <v>530</v>
      </c>
      <c r="L531" s="54">
        <v>172.60995763677084</v>
      </c>
      <c r="M531" s="54">
        <v>42.705532586124264</v>
      </c>
      <c r="N531" s="54">
        <v>34.946549507530676</v>
      </c>
      <c r="O531" s="54">
        <v>51.218091791341493</v>
      </c>
    </row>
    <row r="532" spans="1:15" x14ac:dyDescent="0.35">
      <c r="A532" s="59" t="s">
        <v>183</v>
      </c>
      <c r="B532" s="60">
        <v>45669</v>
      </c>
      <c r="C532" s="54">
        <v>190.38739202334216</v>
      </c>
      <c r="D532" s="54"/>
      <c r="E532">
        <v>190.38739202334216</v>
      </c>
      <c r="F532">
        <v>191.40637545174968</v>
      </c>
      <c r="G532">
        <v>166.24327285683552</v>
      </c>
      <c r="H532" s="54">
        <v>375</v>
      </c>
      <c r="I532" s="54" t="s">
        <v>156</v>
      </c>
      <c r="J532" s="54">
        <v>530</v>
      </c>
      <c r="K532" s="54">
        <v>531</v>
      </c>
      <c r="L532" s="54">
        <v>191.47273656659198</v>
      </c>
      <c r="M532" s="54">
        <v>1.0853445432498177</v>
      </c>
      <c r="N532" s="54">
        <v>1.0189834284075232</v>
      </c>
      <c r="O532" s="54">
        <v>24.144119166506641</v>
      </c>
    </row>
    <row r="533" spans="1:15" x14ac:dyDescent="0.35">
      <c r="A533" s="59" t="s">
        <v>183</v>
      </c>
      <c r="B533" s="60">
        <v>45676</v>
      </c>
      <c r="C533" s="54">
        <v>159.96024334169823</v>
      </c>
      <c r="D533" s="54"/>
      <c r="E533">
        <v>159.96024334169823</v>
      </c>
      <c r="F533">
        <v>212.1980147378284</v>
      </c>
      <c r="G533">
        <v>169.07520594136577</v>
      </c>
      <c r="H533" s="54">
        <v>375</v>
      </c>
      <c r="I533" s="54" t="s">
        <v>156</v>
      </c>
      <c r="J533" s="54">
        <v>530</v>
      </c>
      <c r="K533" s="54">
        <v>532</v>
      </c>
      <c r="L533" s="54">
        <v>209.87618933944825</v>
      </c>
      <c r="M533" s="54">
        <v>49.915945997750015</v>
      </c>
      <c r="N533" s="54">
        <v>52.237771396130171</v>
      </c>
      <c r="O533" s="54">
        <v>9.1149625996675354</v>
      </c>
    </row>
    <row r="534" spans="1:15" x14ac:dyDescent="0.35">
      <c r="A534" s="59" t="s">
        <v>183</v>
      </c>
      <c r="B534" s="60">
        <v>45683</v>
      </c>
      <c r="C534" s="54">
        <v>199.7231699135273</v>
      </c>
      <c r="D534" s="54"/>
      <c r="E534">
        <v>199.7231699135273</v>
      </c>
      <c r="F534">
        <v>208.76379881230898</v>
      </c>
      <c r="G534">
        <v>166.50884813612819</v>
      </c>
      <c r="H534" s="54">
        <v>375</v>
      </c>
      <c r="I534" s="54" t="s">
        <v>156</v>
      </c>
      <c r="J534" s="54">
        <v>530</v>
      </c>
      <c r="K534" s="54">
        <v>533</v>
      </c>
      <c r="L534" s="54">
        <v>204.65481441526492</v>
      </c>
      <c r="M534" s="54">
        <v>4.9316445017376225</v>
      </c>
      <c r="N534" s="54">
        <v>9.0406288987816765</v>
      </c>
      <c r="O534" s="54">
        <v>33.214321777399107</v>
      </c>
    </row>
    <row r="535" spans="1:15" x14ac:dyDescent="0.35">
      <c r="A535" s="59" t="s">
        <v>183</v>
      </c>
      <c r="B535" s="60">
        <v>45690</v>
      </c>
      <c r="C535" s="54">
        <v>169.80083003632893</v>
      </c>
      <c r="D535" s="54"/>
      <c r="E535">
        <v>169.80083003632893</v>
      </c>
      <c r="F535">
        <v>188.50154469612363</v>
      </c>
      <c r="G535">
        <v>182.06146015996325</v>
      </c>
      <c r="H535" s="54">
        <v>375</v>
      </c>
      <c r="I535" s="54" t="s">
        <v>156</v>
      </c>
      <c r="J535" s="54">
        <v>530</v>
      </c>
      <c r="K535" s="54">
        <v>534</v>
      </c>
      <c r="L535" s="54">
        <v>182.68896434339038</v>
      </c>
      <c r="M535" s="54">
        <v>12.888134307061449</v>
      </c>
      <c r="N535" s="54">
        <v>18.700714659794698</v>
      </c>
      <c r="O535" s="54">
        <v>12.260630123634314</v>
      </c>
    </row>
    <row r="536" spans="1:15" x14ac:dyDescent="0.35">
      <c r="A536" s="59" t="s">
        <v>183</v>
      </c>
      <c r="B536" s="60">
        <v>45697</v>
      </c>
      <c r="C536" s="54">
        <v>207.60298700947214</v>
      </c>
      <c r="D536" s="54"/>
      <c r="E536">
        <v>207.60298700947214</v>
      </c>
      <c r="F536">
        <v>192.3886191121581</v>
      </c>
      <c r="G536">
        <v>186.14506411520648</v>
      </c>
      <c r="H536" s="54">
        <v>375</v>
      </c>
      <c r="I536" s="54" t="s">
        <v>156</v>
      </c>
      <c r="J536" s="54">
        <v>530</v>
      </c>
      <c r="K536" s="54">
        <v>535</v>
      </c>
      <c r="L536" s="54">
        <v>188.80395264758698</v>
      </c>
      <c r="M536" s="54">
        <v>18.799034361885163</v>
      </c>
      <c r="N536" s="54">
        <v>15.214367897314048</v>
      </c>
      <c r="O536" s="54">
        <v>21.457922894265664</v>
      </c>
    </row>
    <row r="537" spans="1:15" x14ac:dyDescent="0.35">
      <c r="A537" s="59" t="s">
        <v>183</v>
      </c>
      <c r="B537" s="60">
        <v>45704</v>
      </c>
      <c r="C537" s="54">
        <v>217.43436474496397</v>
      </c>
      <c r="D537" s="54"/>
      <c r="E537">
        <v>217.43436474496397</v>
      </c>
      <c r="F537">
        <v>198.85293985881904</v>
      </c>
      <c r="G537">
        <v>181.61634090557544</v>
      </c>
      <c r="H537" s="54">
        <v>375</v>
      </c>
      <c r="I537" s="54" t="s">
        <v>156</v>
      </c>
      <c r="J537" s="54">
        <v>530</v>
      </c>
      <c r="K537" s="54">
        <v>536</v>
      </c>
      <c r="L537" s="54">
        <v>195.20362708610202</v>
      </c>
      <c r="M537" s="54">
        <v>22.230737658861955</v>
      </c>
      <c r="N537" s="54">
        <v>18.58142488614493</v>
      </c>
      <c r="O537" s="54">
        <v>35.81802383938853</v>
      </c>
    </row>
    <row r="538" spans="1:15" x14ac:dyDescent="0.35">
      <c r="A538" s="59" t="s">
        <v>183</v>
      </c>
      <c r="B538" s="60">
        <v>45711</v>
      </c>
      <c r="C538" s="54">
        <v>180.05656859638779</v>
      </c>
      <c r="D538" s="54"/>
      <c r="E538">
        <v>180.05656859638779</v>
      </c>
      <c r="F538">
        <v>212.55934101821362</v>
      </c>
      <c r="G538">
        <v>191.34657387536569</v>
      </c>
      <c r="H538" s="54">
        <v>375</v>
      </c>
      <c r="I538" s="54" t="s">
        <v>156</v>
      </c>
      <c r="J538" s="54">
        <v>530</v>
      </c>
      <c r="K538" s="54">
        <v>537</v>
      </c>
      <c r="L538" s="54">
        <v>215.48781766294749</v>
      </c>
      <c r="M538" s="54">
        <v>35.431249066559701</v>
      </c>
      <c r="N538" s="54">
        <v>32.502772421825824</v>
      </c>
      <c r="O538" s="54">
        <v>11.290005278977901</v>
      </c>
    </row>
    <row r="539" spans="1:15" x14ac:dyDescent="0.35">
      <c r="A539" s="59" t="s">
        <v>183</v>
      </c>
      <c r="B539" s="60">
        <v>45718</v>
      </c>
      <c r="C539" s="54">
        <v>217.72719990275954</v>
      </c>
      <c r="D539" s="54"/>
      <c r="E539">
        <v>217.72719990275954</v>
      </c>
      <c r="F539">
        <v>197.18291239924724</v>
      </c>
      <c r="G539">
        <v>179.96790882872415</v>
      </c>
      <c r="H539" s="54">
        <v>375</v>
      </c>
      <c r="I539" s="54" t="s">
        <v>156</v>
      </c>
      <c r="J539" s="54">
        <v>530</v>
      </c>
      <c r="K539" s="54">
        <v>538</v>
      </c>
      <c r="L539" s="54">
        <v>197.71697931232288</v>
      </c>
      <c r="M539" s="54">
        <v>20.01022059043666</v>
      </c>
      <c r="N539" s="54">
        <v>20.544287503512294</v>
      </c>
      <c r="O539" s="54">
        <v>37.759291074035389</v>
      </c>
    </row>
    <row r="540" spans="1:15" x14ac:dyDescent="0.35">
      <c r="A540" s="59" t="s">
        <v>183</v>
      </c>
      <c r="B540" s="60">
        <v>45725</v>
      </c>
      <c r="C540" s="54">
        <v>208.46473905179414</v>
      </c>
      <c r="D540" s="54"/>
      <c r="E540">
        <v>208.46473905179414</v>
      </c>
      <c r="F540">
        <v>223.65613958143504</v>
      </c>
      <c r="G540">
        <v>184.27180757525667</v>
      </c>
      <c r="H540" s="54">
        <v>375</v>
      </c>
      <c r="I540" s="54" t="s">
        <v>156</v>
      </c>
      <c r="J540" s="54">
        <v>530</v>
      </c>
      <c r="K540" s="54">
        <v>539</v>
      </c>
      <c r="L540" s="54">
        <v>216.75349626809714</v>
      </c>
      <c r="M540" s="54">
        <v>8.2887572163029972</v>
      </c>
      <c r="N540" s="54">
        <v>15.191400529640902</v>
      </c>
      <c r="O540" s="54">
        <v>24.192931476537467</v>
      </c>
    </row>
    <row r="541" spans="1:15" x14ac:dyDescent="0.35">
      <c r="A541" s="59" t="s">
        <v>183</v>
      </c>
      <c r="B541" s="60">
        <v>45732</v>
      </c>
      <c r="C541" s="54">
        <v>218.14152805359811</v>
      </c>
      <c r="D541" s="54"/>
      <c r="E541">
        <v>218.14152805359811</v>
      </c>
      <c r="F541">
        <v>194.59892901966228</v>
      </c>
      <c r="G541">
        <v>198.6403379260731</v>
      </c>
      <c r="H541" s="54">
        <v>375</v>
      </c>
      <c r="I541" s="54" t="s">
        <v>156</v>
      </c>
      <c r="J541" s="54">
        <v>530</v>
      </c>
      <c r="K541" s="54">
        <v>540</v>
      </c>
      <c r="L541" s="54">
        <v>187.26214152867607</v>
      </c>
      <c r="M541" s="54">
        <v>30.87938652492204</v>
      </c>
      <c r="N541" s="54">
        <v>23.542599033935829</v>
      </c>
      <c r="O541" s="54">
        <v>19.501190127525007</v>
      </c>
    </row>
    <row r="542" spans="1:15" x14ac:dyDescent="0.35">
      <c r="A542" s="59" t="s">
        <v>183</v>
      </c>
      <c r="B542" s="60">
        <v>45739</v>
      </c>
      <c r="C542" s="54">
        <v>240.85469600159999</v>
      </c>
      <c r="D542" s="54"/>
      <c r="E542">
        <v>240.85469600159999</v>
      </c>
      <c r="F542">
        <v>198.49567522217788</v>
      </c>
      <c r="G542">
        <v>193.72368759678821</v>
      </c>
      <c r="H542" s="54">
        <v>375</v>
      </c>
      <c r="I542" s="54" t="s">
        <v>156</v>
      </c>
      <c r="J542" s="54">
        <v>530</v>
      </c>
      <c r="K542" s="54">
        <v>541</v>
      </c>
      <c r="L542" s="54">
        <v>189.00293161317111</v>
      </c>
      <c r="M542" s="54">
        <v>51.851764388428876</v>
      </c>
      <c r="N542" s="54">
        <v>42.35902077942211</v>
      </c>
      <c r="O542" s="54">
        <v>47.13100840481178</v>
      </c>
    </row>
    <row r="543" spans="1:15" x14ac:dyDescent="0.35">
      <c r="A543" s="59" t="s">
        <v>183</v>
      </c>
      <c r="B543" s="60">
        <v>45746</v>
      </c>
      <c r="C543" s="54">
        <v>198.94641516190367</v>
      </c>
      <c r="D543" s="54"/>
      <c r="E543">
        <v>198.94641516190367</v>
      </c>
      <c r="F543">
        <v>215.29869489320566</v>
      </c>
      <c r="G543">
        <v>205.70528006339589</v>
      </c>
      <c r="H543" s="54">
        <v>375</v>
      </c>
      <c r="I543" s="54" t="s">
        <v>156</v>
      </c>
      <c r="J543" s="54">
        <v>530</v>
      </c>
      <c r="K543" s="54">
        <v>542</v>
      </c>
      <c r="L543" s="54">
        <v>213.46795159756135</v>
      </c>
      <c r="M543" s="54">
        <v>14.52153643565768</v>
      </c>
      <c r="N543" s="54">
        <v>16.352279731301991</v>
      </c>
      <c r="O543" s="54">
        <v>6.7588649014922169</v>
      </c>
    </row>
    <row r="544" spans="1:15" x14ac:dyDescent="0.35">
      <c r="A544" s="59" t="s">
        <v>183</v>
      </c>
      <c r="B544" s="60">
        <v>45753</v>
      </c>
      <c r="C544" s="54">
        <v>189.42527671285021</v>
      </c>
      <c r="D544" s="54"/>
      <c r="E544">
        <v>189.42527671285021</v>
      </c>
      <c r="F544">
        <v>197.64142550259865</v>
      </c>
      <c r="G544">
        <v>205.92071807397636</v>
      </c>
      <c r="H544" s="54">
        <v>375</v>
      </c>
      <c r="I544" s="54" t="s">
        <v>156</v>
      </c>
      <c r="J544" s="54">
        <v>530</v>
      </c>
      <c r="K544" s="54">
        <v>543</v>
      </c>
      <c r="L544" s="54">
        <v>211.27810885278964</v>
      </c>
      <c r="M544" s="54">
        <v>21.852832139939437</v>
      </c>
      <c r="N544" s="54">
        <v>8.2161487897484449</v>
      </c>
      <c r="O544" s="54">
        <v>16.495441361126154</v>
      </c>
    </row>
    <row r="545" spans="1:15" x14ac:dyDescent="0.35">
      <c r="A545" s="59" t="s">
        <v>183</v>
      </c>
      <c r="B545" s="60">
        <v>45760</v>
      </c>
      <c r="C545" s="54">
        <v>187.0638888894506</v>
      </c>
      <c r="D545" s="54"/>
      <c r="E545">
        <v>187.0638888894506</v>
      </c>
      <c r="F545">
        <v>205.13967215239282</v>
      </c>
      <c r="G545">
        <v>206.09750890113489</v>
      </c>
      <c r="H545" s="54">
        <v>375</v>
      </c>
      <c r="I545" s="54" t="s">
        <v>156</v>
      </c>
      <c r="J545" s="54">
        <v>530</v>
      </c>
      <c r="K545" s="54">
        <v>544</v>
      </c>
      <c r="L545" s="54">
        <v>210.91047437970659</v>
      </c>
      <c r="M545" s="54">
        <v>23.84658549025599</v>
      </c>
      <c r="N545" s="54">
        <v>18.075783262942224</v>
      </c>
      <c r="O545" s="54">
        <v>19.033620011684292</v>
      </c>
    </row>
    <row r="546" spans="1:15" x14ac:dyDescent="0.35">
      <c r="A546" s="59" t="s">
        <v>183</v>
      </c>
      <c r="B546" s="60">
        <v>45767</v>
      </c>
      <c r="C546" s="54">
        <v>188.60263064921227</v>
      </c>
      <c r="D546" s="54"/>
      <c r="E546">
        <v>188.60263064921227</v>
      </c>
      <c r="F546">
        <v>217.51959373208612</v>
      </c>
      <c r="G546">
        <v>221.29704075243794</v>
      </c>
      <c r="H546" s="54">
        <v>375</v>
      </c>
      <c r="I546" s="54" t="s">
        <v>156</v>
      </c>
      <c r="J546" s="54">
        <v>530</v>
      </c>
      <c r="K546" s="54">
        <v>545</v>
      </c>
      <c r="L546" s="54">
        <v>224.04180746256571</v>
      </c>
      <c r="M546" s="54">
        <v>35.439176813353441</v>
      </c>
      <c r="N546" s="54">
        <v>28.916963082873849</v>
      </c>
      <c r="O546" s="54">
        <v>32.694410103225664</v>
      </c>
    </row>
    <row r="547" spans="1:15" x14ac:dyDescent="0.35">
      <c r="A547" s="59" t="s">
        <v>183</v>
      </c>
      <c r="B547" s="60">
        <v>45774</v>
      </c>
      <c r="C547" s="54">
        <v>203.15829066542622</v>
      </c>
      <c r="D547" s="54"/>
      <c r="E547">
        <v>203.15829066542622</v>
      </c>
      <c r="F547">
        <v>210.27870412368719</v>
      </c>
      <c r="G547">
        <v>216.60184456722399</v>
      </c>
      <c r="H547" s="54">
        <v>375</v>
      </c>
      <c r="I547" s="54" t="s">
        <v>156</v>
      </c>
      <c r="J547" s="54">
        <v>530</v>
      </c>
      <c r="K547" s="54">
        <v>546</v>
      </c>
      <c r="L547" s="54">
        <v>215.97023915628074</v>
      </c>
      <c r="M547" s="54">
        <v>12.811948490854519</v>
      </c>
      <c r="N547" s="54">
        <v>7.1204134582609697</v>
      </c>
      <c r="O547" s="54">
        <v>13.44355390179777</v>
      </c>
    </row>
    <row r="548" spans="1:15" x14ac:dyDescent="0.35">
      <c r="A548" s="59" t="s">
        <v>183</v>
      </c>
      <c r="B548" s="60">
        <v>45781</v>
      </c>
      <c r="C548" s="54">
        <v>211.0321600093971</v>
      </c>
      <c r="D548" s="54"/>
      <c r="E548">
        <v>211.0321600093971</v>
      </c>
      <c r="F548">
        <v>200.5867519801414</v>
      </c>
      <c r="G548">
        <v>211.841978982488</v>
      </c>
      <c r="H548" s="54">
        <v>375</v>
      </c>
      <c r="I548" s="54" t="s">
        <v>156</v>
      </c>
      <c r="J548" s="54">
        <v>530</v>
      </c>
      <c r="K548" s="54">
        <v>547</v>
      </c>
      <c r="L548" s="54">
        <v>198.44108321811109</v>
      </c>
      <c r="M548" s="54">
        <v>12.591076791286014</v>
      </c>
      <c r="N548" s="54">
        <v>10.445408029255702</v>
      </c>
      <c r="O548" s="54">
        <v>0.80981897309089845</v>
      </c>
    </row>
    <row r="549" spans="1:15" x14ac:dyDescent="0.35">
      <c r="A549" s="59" t="s">
        <v>183</v>
      </c>
      <c r="B549" s="60">
        <v>45788</v>
      </c>
      <c r="C549" s="54">
        <v>208.99349330447356</v>
      </c>
      <c r="D549" s="54"/>
      <c r="E549">
        <v>208.99349330447356</v>
      </c>
      <c r="F549">
        <v>213.81366313756584</v>
      </c>
      <c r="G549">
        <v>204.07256919145112</v>
      </c>
      <c r="H549" s="54">
        <v>375</v>
      </c>
      <c r="I549" s="54" t="s">
        <v>156</v>
      </c>
      <c r="J549" s="54">
        <v>530</v>
      </c>
      <c r="K549" s="54">
        <v>548</v>
      </c>
      <c r="L549" s="54">
        <v>218.25083854161787</v>
      </c>
      <c r="M549" s="54">
        <v>9.2573452371443068</v>
      </c>
      <c r="N549" s="54">
        <v>4.8201698330922795</v>
      </c>
      <c r="O549" s="54">
        <v>4.920924113022437</v>
      </c>
    </row>
    <row r="550" spans="1:15" x14ac:dyDescent="0.35">
      <c r="A550" s="59" t="s">
        <v>183</v>
      </c>
      <c r="B550" s="60">
        <v>45795</v>
      </c>
      <c r="C550" s="54">
        <v>219.01387994414253</v>
      </c>
      <c r="D550" s="54"/>
      <c r="E550">
        <v>219.01387994414253</v>
      </c>
      <c r="F550">
        <v>198.60891670275649</v>
      </c>
      <c r="G550">
        <v>191.00955285335419</v>
      </c>
      <c r="H550" s="54">
        <v>375</v>
      </c>
      <c r="I550" s="54" t="s">
        <v>156</v>
      </c>
      <c r="J550" s="54">
        <v>530</v>
      </c>
      <c r="K550" s="54">
        <v>549</v>
      </c>
      <c r="L550" s="54">
        <v>214.97501778500293</v>
      </c>
      <c r="M550" s="54">
        <v>4.0388621591395975</v>
      </c>
      <c r="N550" s="54">
        <v>20.404963241386042</v>
      </c>
      <c r="O550" s="54">
        <v>28.004327090788337</v>
      </c>
    </row>
    <row r="551" spans="1:15" x14ac:dyDescent="0.35">
      <c r="A551" s="59" t="s">
        <v>183</v>
      </c>
      <c r="B551" s="60">
        <v>45802</v>
      </c>
      <c r="C551" s="54">
        <v>201.52249100237412</v>
      </c>
      <c r="D551" s="54"/>
      <c r="E551">
        <v>201.52249100237412</v>
      </c>
      <c r="F551">
        <v>219.35296940028243</v>
      </c>
      <c r="G551">
        <v>192.06252172923482</v>
      </c>
      <c r="H551" s="54">
        <v>375</v>
      </c>
      <c r="I551" s="54" t="s">
        <v>156</v>
      </c>
      <c r="J551" s="54">
        <v>530</v>
      </c>
      <c r="K551" s="54">
        <v>550</v>
      </c>
      <c r="L551" s="54">
        <v>217.19132140668668</v>
      </c>
      <c r="M551" s="54">
        <v>15.668830404312558</v>
      </c>
      <c r="N551" s="54">
        <v>17.830478397908308</v>
      </c>
      <c r="O551" s="54">
        <v>9.4599692731393077</v>
      </c>
    </row>
    <row r="552" spans="1:15" x14ac:dyDescent="0.35">
      <c r="A552" s="59" t="s">
        <v>183</v>
      </c>
      <c r="B552" s="60">
        <v>45809</v>
      </c>
      <c r="C552" s="54">
        <v>228.93197647776947</v>
      </c>
      <c r="D552" s="54"/>
      <c r="E552">
        <v>228.93197647776947</v>
      </c>
      <c r="F552">
        <v>228.03637435345883</v>
      </c>
      <c r="G552">
        <v>197.46424255337155</v>
      </c>
      <c r="H552" s="54">
        <v>375</v>
      </c>
      <c r="I552" s="54" t="s">
        <v>156</v>
      </c>
      <c r="J552" s="54">
        <v>530</v>
      </c>
      <c r="K552" s="54">
        <v>551</v>
      </c>
      <c r="L552" s="54">
        <v>236.75139920835989</v>
      </c>
      <c r="M552" s="54">
        <v>7.8194227305904178</v>
      </c>
      <c r="N552" s="54">
        <v>0.89560212431064201</v>
      </c>
      <c r="O552" s="54">
        <v>31.467733924397919</v>
      </c>
    </row>
    <row r="553" spans="1:15" x14ac:dyDescent="0.35">
      <c r="A553" s="59" t="s">
        <v>183</v>
      </c>
      <c r="B553" s="60">
        <v>45816</v>
      </c>
      <c r="C553" s="54">
        <v>193.00132677611623</v>
      </c>
      <c r="D553" s="54"/>
      <c r="E553">
        <v>193.00132677611623</v>
      </c>
      <c r="F553">
        <v>179.32206184570828</v>
      </c>
      <c r="G553">
        <v>202.94664365712728</v>
      </c>
      <c r="H553" s="54">
        <v>375</v>
      </c>
      <c r="I553" s="54" t="s">
        <v>156</v>
      </c>
      <c r="J553" s="54">
        <v>530</v>
      </c>
      <c r="K553" s="54">
        <v>552</v>
      </c>
      <c r="L553" s="54">
        <v>168.30549244993222</v>
      </c>
      <c r="M553" s="54">
        <v>24.695834326184013</v>
      </c>
      <c r="N553" s="54">
        <v>13.679264930407953</v>
      </c>
      <c r="O553" s="54">
        <v>9.9453168810110526</v>
      </c>
    </row>
    <row r="554" spans="1:15" x14ac:dyDescent="0.35">
      <c r="A554" s="59" t="s">
        <v>183</v>
      </c>
      <c r="B554" s="60">
        <v>45823</v>
      </c>
      <c r="C554" s="54">
        <v>250.99548107264312</v>
      </c>
      <c r="D554" s="54"/>
      <c r="E554">
        <v>250.99548107264312</v>
      </c>
      <c r="F554">
        <v>193.44391453195178</v>
      </c>
      <c r="G554">
        <v>210.54945598085985</v>
      </c>
      <c r="H554" s="54">
        <v>375</v>
      </c>
      <c r="I554" s="54" t="s">
        <v>156</v>
      </c>
      <c r="J554" s="54">
        <v>530</v>
      </c>
      <c r="K554" s="54">
        <v>553</v>
      </c>
      <c r="L554" s="54">
        <v>203.45203032286813</v>
      </c>
      <c r="M554" s="54">
        <v>47.543450749774991</v>
      </c>
      <c r="N554" s="54">
        <v>57.55156654069134</v>
      </c>
      <c r="O554" s="54">
        <v>40.44602509178327</v>
      </c>
    </row>
    <row r="555" spans="1:15" x14ac:dyDescent="0.35">
      <c r="A555" s="59" t="s">
        <v>183</v>
      </c>
      <c r="B555" s="60">
        <v>45830</v>
      </c>
      <c r="C555" s="54">
        <v>207.2996602410513</v>
      </c>
      <c r="D555" s="54"/>
      <c r="E555">
        <v>207.2996602410513</v>
      </c>
      <c r="F555">
        <v>197.04785714203595</v>
      </c>
      <c r="G555">
        <v>210.14050606509682</v>
      </c>
      <c r="H555" s="54">
        <v>375</v>
      </c>
      <c r="I555" s="54" t="s">
        <v>156</v>
      </c>
      <c r="J555" s="54">
        <v>530</v>
      </c>
      <c r="K555" s="54">
        <v>554</v>
      </c>
      <c r="L555" s="54">
        <v>200.91952034748368</v>
      </c>
      <c r="M555" s="54">
        <v>6.3801398935676161</v>
      </c>
      <c r="N555" s="54">
        <v>10.251803099015348</v>
      </c>
      <c r="O555" s="54">
        <v>2.8408458240455161</v>
      </c>
    </row>
    <row r="556" spans="1:15" x14ac:dyDescent="0.35">
      <c r="A556" s="59" t="s">
        <v>183</v>
      </c>
      <c r="B556" s="60">
        <v>45837</v>
      </c>
      <c r="C556" s="54">
        <v>175.76758247678086</v>
      </c>
      <c r="D556" s="54"/>
      <c r="E556">
        <v>175.76758247678086</v>
      </c>
      <c r="F556">
        <v>192.94641369528804</v>
      </c>
      <c r="G556">
        <v>214.61546018218991</v>
      </c>
      <c r="H556" s="54">
        <v>375</v>
      </c>
      <c r="I556" s="54" t="s">
        <v>156</v>
      </c>
      <c r="J556" s="54">
        <v>530</v>
      </c>
      <c r="K556" s="54">
        <v>555</v>
      </c>
      <c r="L556" s="54">
        <v>195.28642559232264</v>
      </c>
      <c r="M556" s="54">
        <v>19.518843115541785</v>
      </c>
      <c r="N556" s="54">
        <v>17.178831218507185</v>
      </c>
      <c r="O556" s="54">
        <v>38.847877705409047</v>
      </c>
    </row>
    <row r="557" spans="1:15" x14ac:dyDescent="0.35">
      <c r="A557" s="59" t="s">
        <v>184</v>
      </c>
      <c r="B557" s="60">
        <v>44570</v>
      </c>
      <c r="C557" s="54">
        <v>100.0000005156902</v>
      </c>
      <c r="D557" s="54">
        <v>100.0000005156902</v>
      </c>
      <c r="E557"/>
      <c r="F557"/>
      <c r="G557" t="e">
        <v>#N/A</v>
      </c>
      <c r="H557" s="54">
        <v>557</v>
      </c>
      <c r="I557" s="54">
        <v>1</v>
      </c>
      <c r="J557" s="54">
        <v>557</v>
      </c>
      <c r="K557" s="54">
        <v>556</v>
      </c>
      <c r="L557" s="54" t="e">
        <v>#N/A</v>
      </c>
      <c r="M557" s="54" t="s">
        <v>156</v>
      </c>
      <c r="N557" s="54" t="s">
        <v>156</v>
      </c>
      <c r="O557" s="54" t="s">
        <v>156</v>
      </c>
    </row>
    <row r="558" spans="1:15" x14ac:dyDescent="0.35">
      <c r="A558" s="59" t="s">
        <v>184</v>
      </c>
      <c r="B558" s="60">
        <v>44577</v>
      </c>
      <c r="C558" s="54">
        <v>100.00000000070374</v>
      </c>
      <c r="D558" s="54">
        <v>100.00000000070374</v>
      </c>
      <c r="E558"/>
      <c r="F558"/>
      <c r="G558" t="e">
        <v>#N/A</v>
      </c>
      <c r="H558" s="54">
        <v>557</v>
      </c>
      <c r="I558" s="54">
        <v>2</v>
      </c>
      <c r="J558" s="54">
        <v>558</v>
      </c>
      <c r="K558" s="54">
        <v>557</v>
      </c>
      <c r="L558" s="54" t="e">
        <v>#N/A</v>
      </c>
      <c r="M558" s="54" t="s">
        <v>156</v>
      </c>
      <c r="N558" s="54" t="s">
        <v>156</v>
      </c>
      <c r="O558" s="54" t="s">
        <v>156</v>
      </c>
    </row>
    <row r="559" spans="1:15" x14ac:dyDescent="0.35">
      <c r="A559" s="59" t="s">
        <v>184</v>
      </c>
      <c r="B559" s="60">
        <v>44584</v>
      </c>
      <c r="C559" s="54">
        <v>100.00000019519045</v>
      </c>
      <c r="D559" s="54">
        <v>100.00000019519045</v>
      </c>
      <c r="E559"/>
      <c r="F559"/>
      <c r="G559" t="e">
        <v>#N/A</v>
      </c>
      <c r="H559" s="54">
        <v>557</v>
      </c>
      <c r="I559" s="54">
        <v>3</v>
      </c>
      <c r="J559" s="54">
        <v>559</v>
      </c>
      <c r="K559" s="54">
        <v>558</v>
      </c>
      <c r="L559" s="54" t="e">
        <v>#N/A</v>
      </c>
      <c r="M559" s="54" t="s">
        <v>156</v>
      </c>
      <c r="N559" s="54" t="s">
        <v>156</v>
      </c>
      <c r="O559" s="54" t="s">
        <v>156</v>
      </c>
    </row>
    <row r="560" spans="1:15" x14ac:dyDescent="0.35">
      <c r="A560" s="59" t="s">
        <v>184</v>
      </c>
      <c r="B560" s="60">
        <v>44591</v>
      </c>
      <c r="C560" s="54">
        <v>100.00046048574131</v>
      </c>
      <c r="D560" s="54">
        <v>100.00046048574131</v>
      </c>
      <c r="E560"/>
      <c r="F560"/>
      <c r="G560" t="e">
        <v>#N/A</v>
      </c>
      <c r="H560" s="54">
        <v>557</v>
      </c>
      <c r="I560" s="54">
        <v>4</v>
      </c>
      <c r="J560" s="54">
        <v>560</v>
      </c>
      <c r="K560" s="54">
        <v>559</v>
      </c>
      <c r="L560" s="54" t="e">
        <v>#N/A</v>
      </c>
      <c r="M560" s="54" t="s">
        <v>156</v>
      </c>
      <c r="N560" s="54" t="s">
        <v>156</v>
      </c>
      <c r="O560" s="54" t="s">
        <v>156</v>
      </c>
    </row>
    <row r="561" spans="1:15" x14ac:dyDescent="0.35">
      <c r="A561" s="59" t="s">
        <v>184</v>
      </c>
      <c r="B561" s="60">
        <v>44598</v>
      </c>
      <c r="C561" s="54">
        <v>100.00015726212922</v>
      </c>
      <c r="D561" s="54">
        <v>100.00015726212922</v>
      </c>
      <c r="E561"/>
      <c r="F561"/>
      <c r="G561" t="e">
        <v>#N/A</v>
      </c>
      <c r="H561" s="54">
        <v>557</v>
      </c>
      <c r="I561" s="54">
        <v>5</v>
      </c>
      <c r="J561" s="54">
        <v>561</v>
      </c>
      <c r="K561" s="54">
        <v>560</v>
      </c>
      <c r="L561" s="54" t="e">
        <v>#N/A</v>
      </c>
      <c r="M561" s="54" t="s">
        <v>156</v>
      </c>
      <c r="N561" s="54" t="s">
        <v>156</v>
      </c>
      <c r="O561" s="54" t="s">
        <v>156</v>
      </c>
    </row>
    <row r="562" spans="1:15" x14ac:dyDescent="0.35">
      <c r="A562" s="59" t="s">
        <v>184</v>
      </c>
      <c r="B562" s="60">
        <v>44605</v>
      </c>
      <c r="C562" s="54">
        <v>100.00000025831338</v>
      </c>
      <c r="D562" s="54">
        <v>100.00000025831338</v>
      </c>
      <c r="E562"/>
      <c r="F562"/>
      <c r="G562" t="e">
        <v>#N/A</v>
      </c>
      <c r="H562" s="54">
        <v>557</v>
      </c>
      <c r="I562" s="54">
        <v>6</v>
      </c>
      <c r="J562" s="54">
        <v>562</v>
      </c>
      <c r="K562" s="54">
        <v>561</v>
      </c>
      <c r="L562" s="54" t="e">
        <v>#N/A</v>
      </c>
      <c r="M562" s="54" t="s">
        <v>156</v>
      </c>
      <c r="N562" s="54" t="s">
        <v>156</v>
      </c>
      <c r="O562" s="54" t="s">
        <v>156</v>
      </c>
    </row>
    <row r="563" spans="1:15" x14ac:dyDescent="0.35">
      <c r="A563" s="59" t="s">
        <v>184</v>
      </c>
      <c r="B563" s="60">
        <v>44612</v>
      </c>
      <c r="C563" s="54">
        <v>100.15801992967535</v>
      </c>
      <c r="D563" s="54">
        <v>100.15801992967535</v>
      </c>
      <c r="E563"/>
      <c r="F563"/>
      <c r="G563" t="e">
        <v>#N/A</v>
      </c>
      <c r="H563" s="54">
        <v>557</v>
      </c>
      <c r="I563" s="54">
        <v>7</v>
      </c>
      <c r="J563" s="54">
        <v>563</v>
      </c>
      <c r="K563" s="54">
        <v>562</v>
      </c>
      <c r="L563" s="54" t="e">
        <v>#N/A</v>
      </c>
      <c r="M563" s="54" t="s">
        <v>156</v>
      </c>
      <c r="N563" s="54" t="s">
        <v>156</v>
      </c>
      <c r="O563" s="54" t="s">
        <v>156</v>
      </c>
    </row>
    <row r="564" spans="1:15" x14ac:dyDescent="0.35">
      <c r="A564" s="59" t="s">
        <v>184</v>
      </c>
      <c r="B564" s="60">
        <v>44619</v>
      </c>
      <c r="C564" s="54">
        <v>100.00733702570049</v>
      </c>
      <c r="D564" s="54">
        <v>100.00733702570049</v>
      </c>
      <c r="E564"/>
      <c r="F564"/>
      <c r="G564" t="e">
        <v>#N/A</v>
      </c>
      <c r="H564" s="54">
        <v>557</v>
      </c>
      <c r="I564" s="54">
        <v>8</v>
      </c>
      <c r="J564" s="54">
        <v>564</v>
      </c>
      <c r="K564" s="54">
        <v>563</v>
      </c>
      <c r="L564" s="54" t="e">
        <v>#N/A</v>
      </c>
      <c r="M564" s="54" t="s">
        <v>156</v>
      </c>
      <c r="N564" s="54" t="s">
        <v>156</v>
      </c>
      <c r="O564" s="54" t="s">
        <v>156</v>
      </c>
    </row>
    <row r="565" spans="1:15" x14ac:dyDescent="0.35">
      <c r="A565" s="59" t="s">
        <v>184</v>
      </c>
      <c r="B565" s="60">
        <v>44626</v>
      </c>
      <c r="C565" s="54">
        <v>100.00029550640552</v>
      </c>
      <c r="D565" s="54">
        <v>100.00029550640552</v>
      </c>
      <c r="E565"/>
      <c r="F565"/>
      <c r="G565" t="e">
        <v>#N/A</v>
      </c>
      <c r="H565" s="54">
        <v>557</v>
      </c>
      <c r="I565" s="54">
        <v>9</v>
      </c>
      <c r="J565" s="54">
        <v>565</v>
      </c>
      <c r="K565" s="54">
        <v>564</v>
      </c>
      <c r="L565" s="54" t="e">
        <v>#N/A</v>
      </c>
      <c r="M565" s="54" t="s">
        <v>156</v>
      </c>
      <c r="N565" s="54" t="s">
        <v>156</v>
      </c>
      <c r="O565" s="54" t="s">
        <v>156</v>
      </c>
    </row>
    <row r="566" spans="1:15" x14ac:dyDescent="0.35">
      <c r="A566" s="59" t="s">
        <v>184</v>
      </c>
      <c r="B566" s="60">
        <v>44633</v>
      </c>
      <c r="C566" s="54">
        <v>100.26116287977756</v>
      </c>
      <c r="D566" s="54">
        <v>100.26116287977756</v>
      </c>
      <c r="E566"/>
      <c r="F566"/>
      <c r="G566" t="e">
        <v>#N/A</v>
      </c>
      <c r="H566" s="54">
        <v>557</v>
      </c>
      <c r="I566" s="54">
        <v>10</v>
      </c>
      <c r="J566" s="54">
        <v>566</v>
      </c>
      <c r="K566" s="54">
        <v>565</v>
      </c>
      <c r="L566" s="54" t="e">
        <v>#N/A</v>
      </c>
      <c r="M566" s="54" t="s">
        <v>156</v>
      </c>
      <c r="N566" s="54" t="s">
        <v>156</v>
      </c>
      <c r="O566" s="54" t="s">
        <v>156</v>
      </c>
    </row>
    <row r="567" spans="1:15" x14ac:dyDescent="0.35">
      <c r="A567" s="59" t="s">
        <v>184</v>
      </c>
      <c r="B567" s="60">
        <v>44640</v>
      </c>
      <c r="C567" s="54">
        <v>100.35850515973537</v>
      </c>
      <c r="D567" s="54">
        <v>100.35850515973537</v>
      </c>
      <c r="E567"/>
      <c r="F567"/>
      <c r="G567" t="e">
        <v>#N/A</v>
      </c>
      <c r="H567" s="54">
        <v>557</v>
      </c>
      <c r="I567" s="54">
        <v>11</v>
      </c>
      <c r="J567" s="54">
        <v>567</v>
      </c>
      <c r="K567" s="54">
        <v>566</v>
      </c>
      <c r="L567" s="54" t="e">
        <v>#N/A</v>
      </c>
      <c r="M567" s="54" t="s">
        <v>156</v>
      </c>
      <c r="N567" s="54" t="s">
        <v>156</v>
      </c>
      <c r="O567" s="54" t="s">
        <v>156</v>
      </c>
    </row>
    <row r="568" spans="1:15" x14ac:dyDescent="0.35">
      <c r="A568" s="59" t="s">
        <v>184</v>
      </c>
      <c r="B568" s="60">
        <v>44647</v>
      </c>
      <c r="C568" s="54">
        <v>100.45750428099876</v>
      </c>
      <c r="D568" s="54">
        <v>100.45750428099876</v>
      </c>
      <c r="E568"/>
      <c r="F568"/>
      <c r="G568" t="e">
        <v>#N/A</v>
      </c>
      <c r="H568" s="54">
        <v>557</v>
      </c>
      <c r="I568" s="54">
        <v>12</v>
      </c>
      <c r="J568" s="54">
        <v>568</v>
      </c>
      <c r="K568" s="54">
        <v>567</v>
      </c>
      <c r="L568" s="54" t="e">
        <v>#N/A</v>
      </c>
      <c r="M568" s="54" t="s">
        <v>156</v>
      </c>
      <c r="N568" s="54" t="s">
        <v>156</v>
      </c>
      <c r="O568" s="54" t="s">
        <v>156</v>
      </c>
    </row>
    <row r="569" spans="1:15" x14ac:dyDescent="0.35">
      <c r="A569" s="59" t="s">
        <v>184</v>
      </c>
      <c r="B569" s="60">
        <v>44654</v>
      </c>
      <c r="C569" s="54">
        <v>100.03334906211487</v>
      </c>
      <c r="D569" s="54">
        <v>100.03334906211487</v>
      </c>
      <c r="E569"/>
      <c r="F569"/>
      <c r="G569" t="e">
        <v>#N/A</v>
      </c>
      <c r="H569" s="54">
        <v>557</v>
      </c>
      <c r="I569" s="54">
        <v>13</v>
      </c>
      <c r="J569" s="54">
        <v>569</v>
      </c>
      <c r="K569" s="54">
        <v>568</v>
      </c>
      <c r="L569" s="54" t="e">
        <v>#N/A</v>
      </c>
      <c r="M569" s="54" t="s">
        <v>156</v>
      </c>
      <c r="N569" s="54" t="s">
        <v>156</v>
      </c>
      <c r="O569" s="54" t="s">
        <v>156</v>
      </c>
    </row>
    <row r="570" spans="1:15" x14ac:dyDescent="0.35">
      <c r="A570" s="59" t="s">
        <v>184</v>
      </c>
      <c r="B570" s="60">
        <v>44661</v>
      </c>
      <c r="C570" s="54">
        <v>105.21689761531502</v>
      </c>
      <c r="D570" s="54">
        <v>105.21689761531502</v>
      </c>
      <c r="E570"/>
      <c r="F570"/>
      <c r="G570" t="e">
        <v>#N/A</v>
      </c>
      <c r="H570" s="54">
        <v>557</v>
      </c>
      <c r="I570" s="54">
        <v>14</v>
      </c>
      <c r="J570" s="54">
        <v>570</v>
      </c>
      <c r="K570" s="54">
        <v>569</v>
      </c>
      <c r="L570" s="54" t="e">
        <v>#N/A</v>
      </c>
      <c r="M570" s="54" t="s">
        <v>156</v>
      </c>
      <c r="N570" s="54" t="s">
        <v>156</v>
      </c>
      <c r="O570" s="54" t="s">
        <v>156</v>
      </c>
    </row>
    <row r="571" spans="1:15" x14ac:dyDescent="0.35">
      <c r="A571" s="59" t="s">
        <v>184</v>
      </c>
      <c r="B571" s="60">
        <v>44668</v>
      </c>
      <c r="C571" s="54">
        <v>107.55376957788663</v>
      </c>
      <c r="D571" s="54">
        <v>107.55376957788663</v>
      </c>
      <c r="E571"/>
      <c r="F571"/>
      <c r="G571" t="e">
        <v>#N/A</v>
      </c>
      <c r="H571" s="54">
        <v>557</v>
      </c>
      <c r="I571" s="54">
        <v>15</v>
      </c>
      <c r="J571" s="54">
        <v>571</v>
      </c>
      <c r="K571" s="54">
        <v>570</v>
      </c>
      <c r="L571" s="54" t="e">
        <v>#N/A</v>
      </c>
      <c r="M571" s="54" t="s">
        <v>156</v>
      </c>
      <c r="N571" s="54" t="s">
        <v>156</v>
      </c>
      <c r="O571" s="54" t="s">
        <v>156</v>
      </c>
    </row>
    <row r="572" spans="1:15" x14ac:dyDescent="0.35">
      <c r="A572" s="59" t="s">
        <v>184</v>
      </c>
      <c r="B572" s="60">
        <v>44675</v>
      </c>
      <c r="C572" s="54">
        <v>109.0225746105167</v>
      </c>
      <c r="D572" s="54">
        <v>109.0225746105167</v>
      </c>
      <c r="E572"/>
      <c r="F572"/>
      <c r="G572" t="e">
        <v>#N/A</v>
      </c>
      <c r="H572" s="54">
        <v>557</v>
      </c>
      <c r="I572" s="54">
        <v>16</v>
      </c>
      <c r="J572" s="54">
        <v>572</v>
      </c>
      <c r="K572" s="54">
        <v>571</v>
      </c>
      <c r="L572" s="54" t="e">
        <v>#N/A</v>
      </c>
      <c r="M572" s="54" t="s">
        <v>156</v>
      </c>
      <c r="N572" s="54" t="s">
        <v>156</v>
      </c>
      <c r="O572" s="54" t="s">
        <v>156</v>
      </c>
    </row>
    <row r="573" spans="1:15" x14ac:dyDescent="0.35">
      <c r="A573" s="59" t="s">
        <v>184</v>
      </c>
      <c r="B573" s="60">
        <v>44682</v>
      </c>
      <c r="C573" s="54">
        <v>100.68166669490411</v>
      </c>
      <c r="D573" s="54">
        <v>100.68166669490411</v>
      </c>
      <c r="E573"/>
      <c r="F573"/>
      <c r="G573" t="e">
        <v>#N/A</v>
      </c>
      <c r="H573" s="54">
        <v>557</v>
      </c>
      <c r="I573" s="54">
        <v>17</v>
      </c>
      <c r="J573" s="54">
        <v>573</v>
      </c>
      <c r="K573" s="54">
        <v>572</v>
      </c>
      <c r="L573" s="54" t="e">
        <v>#N/A</v>
      </c>
      <c r="M573" s="54" t="s">
        <v>156</v>
      </c>
      <c r="N573" s="54" t="s">
        <v>156</v>
      </c>
      <c r="O573" s="54" t="s">
        <v>156</v>
      </c>
    </row>
    <row r="574" spans="1:15" x14ac:dyDescent="0.35">
      <c r="A574" s="59" t="s">
        <v>184</v>
      </c>
      <c r="B574" s="60">
        <v>44689</v>
      </c>
      <c r="C574" s="54">
        <v>101.16841179949934</v>
      </c>
      <c r="D574" s="54">
        <v>101.16841179949934</v>
      </c>
      <c r="E574"/>
      <c r="F574"/>
      <c r="G574" t="e">
        <v>#N/A</v>
      </c>
      <c r="H574" s="54">
        <v>557</v>
      </c>
      <c r="I574" s="54">
        <v>18</v>
      </c>
      <c r="J574" s="54">
        <v>574</v>
      </c>
      <c r="K574" s="54">
        <v>573</v>
      </c>
      <c r="L574" s="54" t="e">
        <v>#N/A</v>
      </c>
      <c r="M574" s="54" t="s">
        <v>156</v>
      </c>
      <c r="N574" s="54" t="s">
        <v>156</v>
      </c>
      <c r="O574" s="54" t="s">
        <v>156</v>
      </c>
    </row>
    <row r="575" spans="1:15" x14ac:dyDescent="0.35">
      <c r="A575" s="59" t="s">
        <v>184</v>
      </c>
      <c r="B575" s="60">
        <v>44696</v>
      </c>
      <c r="C575" s="54">
        <v>109.07961092252512</v>
      </c>
      <c r="D575" s="54">
        <v>109.07961092252512</v>
      </c>
      <c r="E575"/>
      <c r="F575"/>
      <c r="G575" t="e">
        <v>#N/A</v>
      </c>
      <c r="H575" s="54">
        <v>557</v>
      </c>
      <c r="I575" s="54">
        <v>19</v>
      </c>
      <c r="J575" s="54">
        <v>575</v>
      </c>
      <c r="K575" s="54">
        <v>574</v>
      </c>
      <c r="L575" s="54" t="e">
        <v>#N/A</v>
      </c>
      <c r="M575" s="54" t="s">
        <v>156</v>
      </c>
      <c r="N575" s="54" t="s">
        <v>156</v>
      </c>
      <c r="O575" s="54" t="s">
        <v>156</v>
      </c>
    </row>
    <row r="576" spans="1:15" x14ac:dyDescent="0.35">
      <c r="A576" s="59" t="s">
        <v>184</v>
      </c>
      <c r="B576" s="60">
        <v>44703</v>
      </c>
      <c r="C576" s="54">
        <v>120.74734014300732</v>
      </c>
      <c r="D576" s="54">
        <v>120.74734014300732</v>
      </c>
      <c r="E576"/>
      <c r="F576"/>
      <c r="G576" t="e">
        <v>#N/A</v>
      </c>
      <c r="H576" s="54">
        <v>557</v>
      </c>
      <c r="I576" s="54">
        <v>20</v>
      </c>
      <c r="J576" s="54">
        <v>576</v>
      </c>
      <c r="K576" s="54">
        <v>575</v>
      </c>
      <c r="L576" s="54" t="e">
        <v>#N/A</v>
      </c>
      <c r="M576" s="54" t="s">
        <v>156</v>
      </c>
      <c r="N576" s="54" t="s">
        <v>156</v>
      </c>
      <c r="O576" s="54" t="s">
        <v>156</v>
      </c>
    </row>
    <row r="577" spans="1:15" x14ac:dyDescent="0.35">
      <c r="A577" s="59" t="s">
        <v>184</v>
      </c>
      <c r="B577" s="60">
        <v>44710</v>
      </c>
      <c r="C577" s="54">
        <v>124.74546418698209</v>
      </c>
      <c r="D577" s="54">
        <v>124.74546418698209</v>
      </c>
      <c r="E577"/>
      <c r="F577"/>
      <c r="G577" t="e">
        <v>#N/A</v>
      </c>
      <c r="H577" s="54">
        <v>557</v>
      </c>
      <c r="I577" s="54">
        <v>21</v>
      </c>
      <c r="J577" s="54">
        <v>577</v>
      </c>
      <c r="K577" s="54">
        <v>576</v>
      </c>
      <c r="L577" s="54" t="e">
        <v>#N/A</v>
      </c>
      <c r="M577" s="54" t="s">
        <v>156</v>
      </c>
      <c r="N577" s="54" t="s">
        <v>156</v>
      </c>
      <c r="O577" s="54" t="s">
        <v>156</v>
      </c>
    </row>
    <row r="578" spans="1:15" x14ac:dyDescent="0.35">
      <c r="A578" s="59" t="s">
        <v>184</v>
      </c>
      <c r="B578" s="60">
        <v>44717</v>
      </c>
      <c r="C578" s="54">
        <v>124.64860921560839</v>
      </c>
      <c r="D578" s="54">
        <v>124.64860921560839</v>
      </c>
      <c r="E578"/>
      <c r="F578"/>
      <c r="G578" t="e">
        <v>#N/A</v>
      </c>
      <c r="H578" s="54">
        <v>557</v>
      </c>
      <c r="I578" s="54">
        <v>22</v>
      </c>
      <c r="J578" s="54">
        <v>578</v>
      </c>
      <c r="K578" s="54">
        <v>577</v>
      </c>
      <c r="L578" s="54" t="e">
        <v>#N/A</v>
      </c>
      <c r="M578" s="54" t="s">
        <v>156</v>
      </c>
      <c r="N578" s="54" t="s">
        <v>156</v>
      </c>
      <c r="O578" s="54" t="s">
        <v>156</v>
      </c>
    </row>
    <row r="579" spans="1:15" x14ac:dyDescent="0.35">
      <c r="A579" s="59" t="s">
        <v>184</v>
      </c>
      <c r="B579" s="60">
        <v>44724</v>
      </c>
      <c r="C579" s="54">
        <v>111.03022238516142</v>
      </c>
      <c r="D579" s="54">
        <v>111.03022238516142</v>
      </c>
      <c r="E579"/>
      <c r="F579"/>
      <c r="G579" t="e">
        <v>#N/A</v>
      </c>
      <c r="H579" s="54">
        <v>557</v>
      </c>
      <c r="I579" s="54">
        <v>23</v>
      </c>
      <c r="J579" s="54">
        <v>579</v>
      </c>
      <c r="K579" s="54">
        <v>578</v>
      </c>
      <c r="L579" s="54" t="e">
        <v>#N/A</v>
      </c>
      <c r="M579" s="54" t="s">
        <v>156</v>
      </c>
      <c r="N579" s="54" t="s">
        <v>156</v>
      </c>
      <c r="O579" s="54" t="s">
        <v>156</v>
      </c>
    </row>
    <row r="580" spans="1:15" x14ac:dyDescent="0.35">
      <c r="A580" s="59" t="s">
        <v>184</v>
      </c>
      <c r="B580" s="60">
        <v>44731</v>
      </c>
      <c r="C580" s="54">
        <v>133.67728328972683</v>
      </c>
      <c r="D580" s="54">
        <v>133.67728328972683</v>
      </c>
      <c r="E580"/>
      <c r="F580"/>
      <c r="G580" t="e">
        <v>#N/A</v>
      </c>
      <c r="H580" s="54">
        <v>557</v>
      </c>
      <c r="I580" s="54">
        <v>24</v>
      </c>
      <c r="J580" s="54">
        <v>580</v>
      </c>
      <c r="K580" s="54">
        <v>579</v>
      </c>
      <c r="L580" s="54" t="e">
        <v>#N/A</v>
      </c>
      <c r="M580" s="54" t="s">
        <v>156</v>
      </c>
      <c r="N580" s="54" t="s">
        <v>156</v>
      </c>
      <c r="O580" s="54" t="s">
        <v>156</v>
      </c>
    </row>
    <row r="581" spans="1:15" x14ac:dyDescent="0.35">
      <c r="A581" s="59" t="s">
        <v>184</v>
      </c>
      <c r="B581" s="60">
        <v>44738</v>
      </c>
      <c r="C581" s="54">
        <v>103.00271864326368</v>
      </c>
      <c r="D581" s="54">
        <v>103.00271864326368</v>
      </c>
      <c r="E581"/>
      <c r="F581"/>
      <c r="G581" t="e">
        <v>#N/A</v>
      </c>
      <c r="H581" s="54">
        <v>557</v>
      </c>
      <c r="I581" s="54">
        <v>25</v>
      </c>
      <c r="J581" s="54">
        <v>581</v>
      </c>
      <c r="K581" s="54">
        <v>580</v>
      </c>
      <c r="L581" s="54" t="e">
        <v>#N/A</v>
      </c>
      <c r="M581" s="54" t="s">
        <v>156</v>
      </c>
      <c r="N581" s="54" t="s">
        <v>156</v>
      </c>
      <c r="O581" s="54" t="s">
        <v>156</v>
      </c>
    </row>
    <row r="582" spans="1:15" x14ac:dyDescent="0.35">
      <c r="A582" s="59" t="s">
        <v>184</v>
      </c>
      <c r="B582" s="60">
        <v>44745</v>
      </c>
      <c r="C582" s="54">
        <v>103.01636096246881</v>
      </c>
      <c r="D582" s="54">
        <v>103.01636096246881</v>
      </c>
      <c r="E582"/>
      <c r="F582"/>
      <c r="G582" t="e">
        <v>#N/A</v>
      </c>
      <c r="H582" s="54">
        <v>557</v>
      </c>
      <c r="I582" s="54">
        <v>26</v>
      </c>
      <c r="J582" s="54">
        <v>582</v>
      </c>
      <c r="K582" s="54">
        <v>581</v>
      </c>
      <c r="L582" s="54" t="e">
        <v>#N/A</v>
      </c>
      <c r="M582" s="54" t="s">
        <v>156</v>
      </c>
      <c r="N582" s="54" t="s">
        <v>156</v>
      </c>
      <c r="O582" s="54" t="s">
        <v>156</v>
      </c>
    </row>
    <row r="583" spans="1:15" x14ac:dyDescent="0.35">
      <c r="A583" s="59" t="s">
        <v>184</v>
      </c>
      <c r="B583" s="60">
        <v>44752</v>
      </c>
      <c r="C583" s="54">
        <v>113.40418622017927</v>
      </c>
      <c r="D583" s="54">
        <v>113.40418622017927</v>
      </c>
      <c r="E583"/>
      <c r="F583"/>
      <c r="G583" t="e">
        <v>#N/A</v>
      </c>
      <c r="H583" s="54">
        <v>557</v>
      </c>
      <c r="I583" s="54">
        <v>27</v>
      </c>
      <c r="J583" s="54">
        <v>583</v>
      </c>
      <c r="K583" s="54">
        <v>582</v>
      </c>
      <c r="L583" s="54" t="e">
        <v>#N/A</v>
      </c>
      <c r="M583" s="54" t="s">
        <v>156</v>
      </c>
      <c r="N583" s="54" t="s">
        <v>156</v>
      </c>
      <c r="O583" s="54" t="s">
        <v>156</v>
      </c>
    </row>
    <row r="584" spans="1:15" x14ac:dyDescent="0.35">
      <c r="A584" s="59" t="s">
        <v>184</v>
      </c>
      <c r="B584" s="60">
        <v>44759</v>
      </c>
      <c r="C584" s="54">
        <v>100.20487497799468</v>
      </c>
      <c r="D584" s="54">
        <v>100.20487497799468</v>
      </c>
      <c r="E584"/>
      <c r="F584"/>
      <c r="G584" t="e">
        <v>#N/A</v>
      </c>
      <c r="H584" s="54">
        <v>557</v>
      </c>
      <c r="I584" s="54">
        <v>28</v>
      </c>
      <c r="J584" s="54">
        <v>584</v>
      </c>
      <c r="K584" s="54">
        <v>583</v>
      </c>
      <c r="L584" s="54" t="e">
        <v>#N/A</v>
      </c>
      <c r="M584" s="54" t="s">
        <v>156</v>
      </c>
      <c r="N584" s="54" t="s">
        <v>156</v>
      </c>
      <c r="O584" s="54" t="s">
        <v>156</v>
      </c>
    </row>
    <row r="585" spans="1:15" x14ac:dyDescent="0.35">
      <c r="A585" s="59" t="s">
        <v>184</v>
      </c>
      <c r="B585" s="60">
        <v>44766</v>
      </c>
      <c r="C585" s="54">
        <v>100.70491091843753</v>
      </c>
      <c r="D585" s="54">
        <v>100.70491091843753</v>
      </c>
      <c r="E585"/>
      <c r="F585"/>
      <c r="G585" t="e">
        <v>#N/A</v>
      </c>
      <c r="H585" s="54">
        <v>557</v>
      </c>
      <c r="I585" s="54">
        <v>29</v>
      </c>
      <c r="J585" s="54">
        <v>585</v>
      </c>
      <c r="K585" s="54">
        <v>584</v>
      </c>
      <c r="L585" s="54" t="e">
        <v>#N/A</v>
      </c>
      <c r="M585" s="54" t="s">
        <v>156</v>
      </c>
      <c r="N585" s="54" t="s">
        <v>156</v>
      </c>
      <c r="O585" s="54" t="s">
        <v>156</v>
      </c>
    </row>
    <row r="586" spans="1:15" x14ac:dyDescent="0.35">
      <c r="A586" s="59" t="s">
        <v>184</v>
      </c>
      <c r="B586" s="60">
        <v>44773</v>
      </c>
      <c r="C586" s="54">
        <v>100.1617618740887</v>
      </c>
      <c r="D586" s="54">
        <v>100.1617618740887</v>
      </c>
      <c r="E586"/>
      <c r="F586"/>
      <c r="G586" t="e">
        <v>#N/A</v>
      </c>
      <c r="H586" s="54">
        <v>557</v>
      </c>
      <c r="I586" s="54">
        <v>30</v>
      </c>
      <c r="J586" s="54">
        <v>586</v>
      </c>
      <c r="K586" s="54">
        <v>585</v>
      </c>
      <c r="L586" s="54" t="e">
        <v>#N/A</v>
      </c>
      <c r="M586" s="54" t="s">
        <v>156</v>
      </c>
      <c r="N586" s="54" t="s">
        <v>156</v>
      </c>
      <c r="O586" s="54" t="s">
        <v>156</v>
      </c>
    </row>
    <row r="587" spans="1:15" x14ac:dyDescent="0.35">
      <c r="A587" s="59" t="s">
        <v>184</v>
      </c>
      <c r="B587" s="60">
        <v>44780</v>
      </c>
      <c r="C587" s="54">
        <v>100.95188016322066</v>
      </c>
      <c r="D587" s="54">
        <v>100.95188016322066</v>
      </c>
      <c r="E587"/>
      <c r="F587"/>
      <c r="G587" t="e">
        <v>#N/A</v>
      </c>
      <c r="H587" s="54">
        <v>557</v>
      </c>
      <c r="I587" s="54">
        <v>31</v>
      </c>
      <c r="J587" s="54">
        <v>587</v>
      </c>
      <c r="K587" s="54">
        <v>586</v>
      </c>
      <c r="L587" s="54" t="e">
        <v>#N/A</v>
      </c>
      <c r="M587" s="54" t="s">
        <v>156</v>
      </c>
      <c r="N587" s="54" t="s">
        <v>156</v>
      </c>
      <c r="O587" s="54" t="s">
        <v>156</v>
      </c>
    </row>
    <row r="588" spans="1:15" x14ac:dyDescent="0.35">
      <c r="A588" s="59" t="s">
        <v>184</v>
      </c>
      <c r="B588" s="60">
        <v>44787</v>
      </c>
      <c r="C588" s="54">
        <v>106.56702498845473</v>
      </c>
      <c r="D588" s="54">
        <v>106.56702498845473</v>
      </c>
      <c r="E588"/>
      <c r="F588"/>
      <c r="G588" t="e">
        <v>#N/A</v>
      </c>
      <c r="H588" s="54">
        <v>557</v>
      </c>
      <c r="I588" s="54">
        <v>32</v>
      </c>
      <c r="J588" s="54">
        <v>588</v>
      </c>
      <c r="K588" s="54">
        <v>587</v>
      </c>
      <c r="L588" s="54" t="e">
        <v>#N/A</v>
      </c>
      <c r="M588" s="54" t="s">
        <v>156</v>
      </c>
      <c r="N588" s="54" t="s">
        <v>156</v>
      </c>
      <c r="O588" s="54" t="s">
        <v>156</v>
      </c>
    </row>
    <row r="589" spans="1:15" x14ac:dyDescent="0.35">
      <c r="A589" s="59" t="s">
        <v>184</v>
      </c>
      <c r="B589" s="60">
        <v>44794</v>
      </c>
      <c r="C589" s="54">
        <v>107.19626279603426</v>
      </c>
      <c r="D589" s="54">
        <v>107.19626279603426</v>
      </c>
      <c r="E589"/>
      <c r="F589"/>
      <c r="G589" t="e">
        <v>#N/A</v>
      </c>
      <c r="H589" s="54">
        <v>557</v>
      </c>
      <c r="I589" s="54">
        <v>33</v>
      </c>
      <c r="J589" s="54">
        <v>589</v>
      </c>
      <c r="K589" s="54">
        <v>588</v>
      </c>
      <c r="L589" s="54" t="e">
        <v>#N/A</v>
      </c>
      <c r="M589" s="54" t="s">
        <v>156</v>
      </c>
      <c r="N589" s="54" t="s">
        <v>156</v>
      </c>
      <c r="O589" s="54" t="s">
        <v>156</v>
      </c>
    </row>
    <row r="590" spans="1:15" x14ac:dyDescent="0.35">
      <c r="A590" s="59" t="s">
        <v>184</v>
      </c>
      <c r="B590" s="60">
        <v>44801</v>
      </c>
      <c r="C590" s="54">
        <v>100.18606213269703</v>
      </c>
      <c r="D590" s="54">
        <v>100.18606213269703</v>
      </c>
      <c r="E590"/>
      <c r="F590"/>
      <c r="G590" t="e">
        <v>#N/A</v>
      </c>
      <c r="H590" s="54">
        <v>557</v>
      </c>
      <c r="I590" s="54">
        <v>34</v>
      </c>
      <c r="J590" s="54">
        <v>590</v>
      </c>
      <c r="K590" s="54">
        <v>589</v>
      </c>
      <c r="L590" s="54" t="e">
        <v>#N/A</v>
      </c>
      <c r="M590" s="54" t="s">
        <v>156</v>
      </c>
      <c r="N590" s="54" t="s">
        <v>156</v>
      </c>
      <c r="O590" s="54" t="s">
        <v>156</v>
      </c>
    </row>
    <row r="591" spans="1:15" x14ac:dyDescent="0.35">
      <c r="A591" s="59" t="s">
        <v>184</v>
      </c>
      <c r="B591" s="60">
        <v>44808</v>
      </c>
      <c r="C591" s="54">
        <v>101.0301798884453</v>
      </c>
      <c r="D591" s="54">
        <v>101.0301798884453</v>
      </c>
      <c r="E591"/>
      <c r="F591"/>
      <c r="G591" t="e">
        <v>#N/A</v>
      </c>
      <c r="H591" s="54">
        <v>557</v>
      </c>
      <c r="I591" s="54">
        <v>35</v>
      </c>
      <c r="J591" s="54">
        <v>591</v>
      </c>
      <c r="K591" s="54">
        <v>590</v>
      </c>
      <c r="L591" s="54" t="e">
        <v>#N/A</v>
      </c>
      <c r="M591" s="54" t="s">
        <v>156</v>
      </c>
      <c r="N591" s="54" t="s">
        <v>156</v>
      </c>
      <c r="O591" s="54" t="s">
        <v>156</v>
      </c>
    </row>
    <row r="592" spans="1:15" x14ac:dyDescent="0.35">
      <c r="A592" s="59" t="s">
        <v>184</v>
      </c>
      <c r="B592" s="60">
        <v>44815</v>
      </c>
      <c r="C592" s="54">
        <v>102.791505276254</v>
      </c>
      <c r="D592" s="54">
        <v>102.791505276254</v>
      </c>
      <c r="E592"/>
      <c r="F592"/>
      <c r="G592" t="e">
        <v>#N/A</v>
      </c>
      <c r="H592" s="54">
        <v>557</v>
      </c>
      <c r="I592" s="54">
        <v>36</v>
      </c>
      <c r="J592" s="54">
        <v>592</v>
      </c>
      <c r="K592" s="54">
        <v>591</v>
      </c>
      <c r="L592" s="54" t="e">
        <v>#N/A</v>
      </c>
      <c r="M592" s="54" t="s">
        <v>156</v>
      </c>
      <c r="N592" s="54" t="s">
        <v>156</v>
      </c>
      <c r="O592" s="54" t="s">
        <v>156</v>
      </c>
    </row>
    <row r="593" spans="1:15" x14ac:dyDescent="0.35">
      <c r="A593" s="59" t="s">
        <v>184</v>
      </c>
      <c r="B593" s="60">
        <v>44822</v>
      </c>
      <c r="C593" s="54">
        <v>116.50069974238302</v>
      </c>
      <c r="D593" s="54">
        <v>116.50069974238302</v>
      </c>
      <c r="E593"/>
      <c r="F593"/>
      <c r="G593" t="e">
        <v>#N/A</v>
      </c>
      <c r="H593" s="54">
        <v>557</v>
      </c>
      <c r="I593" s="54">
        <v>37</v>
      </c>
      <c r="J593" s="54">
        <v>593</v>
      </c>
      <c r="K593" s="54">
        <v>592</v>
      </c>
      <c r="L593" s="54" t="e">
        <v>#N/A</v>
      </c>
      <c r="M593" s="54" t="s">
        <v>156</v>
      </c>
      <c r="N593" s="54" t="s">
        <v>156</v>
      </c>
      <c r="O593" s="54" t="s">
        <v>156</v>
      </c>
    </row>
    <row r="594" spans="1:15" x14ac:dyDescent="0.35">
      <c r="A594" s="59" t="s">
        <v>184</v>
      </c>
      <c r="B594" s="60">
        <v>44829</v>
      </c>
      <c r="C594" s="54">
        <v>111.0532442920254</v>
      </c>
      <c r="D594" s="54">
        <v>111.0532442920254</v>
      </c>
      <c r="E594"/>
      <c r="F594"/>
      <c r="G594" t="e">
        <v>#N/A</v>
      </c>
      <c r="H594" s="54">
        <v>557</v>
      </c>
      <c r="I594" s="54">
        <v>38</v>
      </c>
      <c r="J594" s="54">
        <v>594</v>
      </c>
      <c r="K594" s="54">
        <v>593</v>
      </c>
      <c r="L594" s="54" t="e">
        <v>#N/A</v>
      </c>
      <c r="M594" s="54" t="s">
        <v>156</v>
      </c>
      <c r="N594" s="54" t="s">
        <v>156</v>
      </c>
      <c r="O594" s="54" t="s">
        <v>156</v>
      </c>
    </row>
    <row r="595" spans="1:15" x14ac:dyDescent="0.35">
      <c r="A595" s="59" t="s">
        <v>184</v>
      </c>
      <c r="B595" s="60">
        <v>44836</v>
      </c>
      <c r="C595" s="54">
        <v>109.68099825230077</v>
      </c>
      <c r="D595" s="54">
        <v>109.68099825230077</v>
      </c>
      <c r="E595"/>
      <c r="F595"/>
      <c r="G595" t="e">
        <v>#N/A</v>
      </c>
      <c r="H595" s="54">
        <v>557</v>
      </c>
      <c r="I595" s="54">
        <v>39</v>
      </c>
      <c r="J595" s="54">
        <v>595</v>
      </c>
      <c r="K595" s="54">
        <v>594</v>
      </c>
      <c r="L595" s="54" t="e">
        <v>#N/A</v>
      </c>
      <c r="M595" s="54" t="s">
        <v>156</v>
      </c>
      <c r="N595" s="54" t="s">
        <v>156</v>
      </c>
      <c r="O595" s="54" t="s">
        <v>156</v>
      </c>
    </row>
    <row r="596" spans="1:15" x14ac:dyDescent="0.35">
      <c r="A596" s="59" t="s">
        <v>184</v>
      </c>
      <c r="B596" s="60">
        <v>44843</v>
      </c>
      <c r="C596" s="54">
        <v>116.6085270712949</v>
      </c>
      <c r="D596" s="54">
        <v>116.6085270712949</v>
      </c>
      <c r="E596"/>
      <c r="F596"/>
      <c r="G596" t="e">
        <v>#N/A</v>
      </c>
      <c r="H596" s="54">
        <v>557</v>
      </c>
      <c r="I596" s="54">
        <v>40</v>
      </c>
      <c r="J596" s="54">
        <v>596</v>
      </c>
      <c r="K596" s="54">
        <v>595</v>
      </c>
      <c r="L596" s="54" t="e">
        <v>#N/A</v>
      </c>
      <c r="M596" s="54" t="s">
        <v>156</v>
      </c>
      <c r="N596" s="54" t="s">
        <v>156</v>
      </c>
      <c r="O596" s="54" t="s">
        <v>156</v>
      </c>
    </row>
    <row r="597" spans="1:15" x14ac:dyDescent="0.35">
      <c r="A597" s="59" t="s">
        <v>184</v>
      </c>
      <c r="B597" s="60">
        <v>44850</v>
      </c>
      <c r="C597" s="54">
        <v>114.42494368779764</v>
      </c>
      <c r="D597" s="54">
        <v>114.42494368779764</v>
      </c>
      <c r="E597"/>
      <c r="F597"/>
      <c r="G597" t="e">
        <v>#N/A</v>
      </c>
      <c r="H597" s="54">
        <v>557</v>
      </c>
      <c r="I597" s="54">
        <v>41</v>
      </c>
      <c r="J597" s="54">
        <v>597</v>
      </c>
      <c r="K597" s="54">
        <v>596</v>
      </c>
      <c r="L597" s="54" t="e">
        <v>#N/A</v>
      </c>
      <c r="M597" s="54" t="s">
        <v>156</v>
      </c>
      <c r="N597" s="54" t="s">
        <v>156</v>
      </c>
      <c r="O597" s="54" t="s">
        <v>156</v>
      </c>
    </row>
    <row r="598" spans="1:15" x14ac:dyDescent="0.35">
      <c r="A598" s="59" t="s">
        <v>184</v>
      </c>
      <c r="B598" s="60">
        <v>44857</v>
      </c>
      <c r="C598" s="54">
        <v>106.13357571165525</v>
      </c>
      <c r="D598" s="54">
        <v>106.13357571165525</v>
      </c>
      <c r="E598"/>
      <c r="F598"/>
      <c r="G598" t="e">
        <v>#N/A</v>
      </c>
      <c r="H598" s="54">
        <v>557</v>
      </c>
      <c r="I598" s="54">
        <v>42</v>
      </c>
      <c r="J598" s="54">
        <v>598</v>
      </c>
      <c r="K598" s="54">
        <v>597</v>
      </c>
      <c r="L598" s="54" t="e">
        <v>#N/A</v>
      </c>
      <c r="M598" s="54" t="s">
        <v>156</v>
      </c>
      <c r="N598" s="54" t="s">
        <v>156</v>
      </c>
      <c r="O598" s="54" t="s">
        <v>156</v>
      </c>
    </row>
    <row r="599" spans="1:15" x14ac:dyDescent="0.35">
      <c r="A599" s="59" t="s">
        <v>184</v>
      </c>
      <c r="B599" s="60">
        <v>44864</v>
      </c>
      <c r="C599" s="54">
        <v>116.08759539705616</v>
      </c>
      <c r="D599" s="54">
        <v>116.08759539705616</v>
      </c>
      <c r="E599"/>
      <c r="F599"/>
      <c r="G599" t="e">
        <v>#N/A</v>
      </c>
      <c r="H599" s="54">
        <v>557</v>
      </c>
      <c r="I599" s="54">
        <v>43</v>
      </c>
      <c r="J599" s="54">
        <v>599</v>
      </c>
      <c r="K599" s="54">
        <v>598</v>
      </c>
      <c r="L599" s="54" t="e">
        <v>#N/A</v>
      </c>
      <c r="M599" s="54" t="s">
        <v>156</v>
      </c>
      <c r="N599" s="54" t="s">
        <v>156</v>
      </c>
      <c r="O599" s="54" t="s">
        <v>156</v>
      </c>
    </row>
    <row r="600" spans="1:15" x14ac:dyDescent="0.35">
      <c r="A600" s="59" t="s">
        <v>184</v>
      </c>
      <c r="B600" s="60">
        <v>44871</v>
      </c>
      <c r="C600" s="54">
        <v>103.78149863399841</v>
      </c>
      <c r="D600" s="54">
        <v>103.78149863399841</v>
      </c>
      <c r="E600"/>
      <c r="F600"/>
      <c r="G600" t="e">
        <v>#N/A</v>
      </c>
      <c r="H600" s="54">
        <v>557</v>
      </c>
      <c r="I600" s="54">
        <v>44</v>
      </c>
      <c r="J600" s="54">
        <v>600</v>
      </c>
      <c r="K600" s="54">
        <v>599</v>
      </c>
      <c r="L600" s="54" t="e">
        <v>#N/A</v>
      </c>
      <c r="M600" s="54" t="s">
        <v>156</v>
      </c>
      <c r="N600" s="54" t="s">
        <v>156</v>
      </c>
      <c r="O600" s="54" t="s">
        <v>156</v>
      </c>
    </row>
    <row r="601" spans="1:15" x14ac:dyDescent="0.35">
      <c r="A601" s="59" t="s">
        <v>184</v>
      </c>
      <c r="B601" s="60">
        <v>44878</v>
      </c>
      <c r="C601" s="54">
        <v>106.35446690753081</v>
      </c>
      <c r="D601" s="54">
        <v>106.35446690753081</v>
      </c>
      <c r="E601"/>
      <c r="F601"/>
      <c r="G601" t="e">
        <v>#N/A</v>
      </c>
      <c r="H601" s="54">
        <v>557</v>
      </c>
      <c r="I601" s="54">
        <v>45</v>
      </c>
      <c r="J601" s="54">
        <v>601</v>
      </c>
      <c r="K601" s="54">
        <v>600</v>
      </c>
      <c r="L601" s="54" t="e">
        <v>#N/A</v>
      </c>
      <c r="M601" s="54" t="s">
        <v>156</v>
      </c>
      <c r="N601" s="54" t="s">
        <v>156</v>
      </c>
      <c r="O601" s="54" t="s">
        <v>156</v>
      </c>
    </row>
    <row r="602" spans="1:15" x14ac:dyDescent="0.35">
      <c r="A602" s="59" t="s">
        <v>184</v>
      </c>
      <c r="B602" s="60">
        <v>44885</v>
      </c>
      <c r="C602" s="54">
        <v>101.04912524133682</v>
      </c>
      <c r="D602" s="54">
        <v>101.04912524133682</v>
      </c>
      <c r="E602"/>
      <c r="F602"/>
      <c r="G602" t="e">
        <v>#N/A</v>
      </c>
      <c r="H602" s="54">
        <v>557</v>
      </c>
      <c r="I602" s="54">
        <v>46</v>
      </c>
      <c r="J602" s="54">
        <v>602</v>
      </c>
      <c r="K602" s="54">
        <v>601</v>
      </c>
      <c r="L602" s="54" t="e">
        <v>#N/A</v>
      </c>
      <c r="M602" s="54" t="s">
        <v>156</v>
      </c>
      <c r="N602" s="54" t="s">
        <v>156</v>
      </c>
      <c r="O602" s="54" t="s">
        <v>156</v>
      </c>
    </row>
    <row r="603" spans="1:15" x14ac:dyDescent="0.35">
      <c r="A603" s="59" t="s">
        <v>184</v>
      </c>
      <c r="B603" s="60">
        <v>44892</v>
      </c>
      <c r="C603" s="54">
        <v>100.78575996224022</v>
      </c>
      <c r="D603" s="54">
        <v>100.78575996224022</v>
      </c>
      <c r="E603"/>
      <c r="F603"/>
      <c r="G603" t="e">
        <v>#N/A</v>
      </c>
      <c r="H603" s="54">
        <v>557</v>
      </c>
      <c r="I603" s="54">
        <v>47</v>
      </c>
      <c r="J603" s="54">
        <v>603</v>
      </c>
      <c r="K603" s="54">
        <v>602</v>
      </c>
      <c r="L603" s="54" t="e">
        <v>#N/A</v>
      </c>
      <c r="M603" s="54" t="s">
        <v>156</v>
      </c>
      <c r="N603" s="54" t="s">
        <v>156</v>
      </c>
      <c r="O603" s="54" t="s">
        <v>156</v>
      </c>
    </row>
    <row r="604" spans="1:15" x14ac:dyDescent="0.35">
      <c r="A604" s="59" t="s">
        <v>184</v>
      </c>
      <c r="B604" s="60">
        <v>44899</v>
      </c>
      <c r="C604" s="54">
        <v>105.25763170325754</v>
      </c>
      <c r="D604" s="54">
        <v>105.25763170325754</v>
      </c>
      <c r="E604"/>
      <c r="F604"/>
      <c r="G604" t="e">
        <v>#N/A</v>
      </c>
      <c r="H604" s="54">
        <v>557</v>
      </c>
      <c r="I604" s="54">
        <v>48</v>
      </c>
      <c r="J604" s="54">
        <v>604</v>
      </c>
      <c r="K604" s="54">
        <v>603</v>
      </c>
      <c r="L604" s="54" t="e">
        <v>#N/A</v>
      </c>
      <c r="M604" s="54" t="s">
        <v>156</v>
      </c>
      <c r="N604" s="54" t="s">
        <v>156</v>
      </c>
      <c r="O604" s="54" t="s">
        <v>156</v>
      </c>
    </row>
    <row r="605" spans="1:15" x14ac:dyDescent="0.35">
      <c r="A605" s="59" t="s">
        <v>184</v>
      </c>
      <c r="B605" s="60">
        <v>44906</v>
      </c>
      <c r="C605" s="54">
        <v>100.08780624106072</v>
      </c>
      <c r="D605" s="54">
        <v>100.08780624106072</v>
      </c>
      <c r="E605"/>
      <c r="F605"/>
      <c r="G605" t="e">
        <v>#N/A</v>
      </c>
      <c r="H605" s="54">
        <v>557</v>
      </c>
      <c r="I605" s="54">
        <v>49</v>
      </c>
      <c r="J605" s="54">
        <v>605</v>
      </c>
      <c r="K605" s="54">
        <v>604</v>
      </c>
      <c r="L605" s="54" t="e">
        <v>#N/A</v>
      </c>
      <c r="M605" s="54" t="s">
        <v>156</v>
      </c>
      <c r="N605" s="54" t="s">
        <v>156</v>
      </c>
      <c r="O605" s="54" t="s">
        <v>156</v>
      </c>
    </row>
    <row r="606" spans="1:15" x14ac:dyDescent="0.35">
      <c r="A606" s="59" t="s">
        <v>184</v>
      </c>
      <c r="B606" s="60">
        <v>44913</v>
      </c>
      <c r="C606" s="54">
        <v>103.66742337302041</v>
      </c>
      <c r="D606" s="54">
        <v>103.66742337302041</v>
      </c>
      <c r="E606"/>
      <c r="F606"/>
      <c r="G606" t="e">
        <v>#N/A</v>
      </c>
      <c r="H606" s="54">
        <v>557</v>
      </c>
      <c r="I606" s="54">
        <v>50</v>
      </c>
      <c r="J606" s="54">
        <v>606</v>
      </c>
      <c r="K606" s="54">
        <v>605</v>
      </c>
      <c r="L606" s="54" t="e">
        <v>#N/A</v>
      </c>
      <c r="M606" s="54" t="s">
        <v>156</v>
      </c>
      <c r="N606" s="54" t="s">
        <v>156</v>
      </c>
      <c r="O606" s="54" t="s">
        <v>156</v>
      </c>
    </row>
    <row r="607" spans="1:15" x14ac:dyDescent="0.35">
      <c r="A607" s="59" t="s">
        <v>184</v>
      </c>
      <c r="B607" s="60">
        <v>44920</v>
      </c>
      <c r="C607" s="54">
        <v>100.30864255551376</v>
      </c>
      <c r="D607" s="54">
        <v>100.30864255551376</v>
      </c>
      <c r="E607"/>
      <c r="F607"/>
      <c r="G607" t="e">
        <v>#N/A</v>
      </c>
      <c r="H607" s="54">
        <v>557</v>
      </c>
      <c r="I607" s="54">
        <v>51</v>
      </c>
      <c r="J607" s="54">
        <v>607</v>
      </c>
      <c r="K607" s="54">
        <v>606</v>
      </c>
      <c r="L607" s="54" t="e">
        <v>#N/A</v>
      </c>
      <c r="M607" s="54" t="s">
        <v>156</v>
      </c>
      <c r="N607" s="54" t="s">
        <v>156</v>
      </c>
      <c r="O607" s="54" t="s">
        <v>156</v>
      </c>
    </row>
    <row r="608" spans="1:15" x14ac:dyDescent="0.35">
      <c r="A608" s="59" t="s">
        <v>184</v>
      </c>
      <c r="B608" s="60">
        <v>44927</v>
      </c>
      <c r="C608" s="54">
        <v>100.21363858683731</v>
      </c>
      <c r="D608" s="54">
        <v>100.21363858683731</v>
      </c>
      <c r="E608"/>
      <c r="F608"/>
      <c r="G608" t="e">
        <v>#N/A</v>
      </c>
      <c r="H608" s="54">
        <v>557</v>
      </c>
      <c r="I608" s="54">
        <v>52</v>
      </c>
      <c r="J608" s="54">
        <v>608</v>
      </c>
      <c r="K608" s="54">
        <v>607</v>
      </c>
      <c r="L608" s="54" t="e">
        <v>#N/A</v>
      </c>
      <c r="M608" s="54" t="s">
        <v>156</v>
      </c>
      <c r="N608" s="54" t="s">
        <v>156</v>
      </c>
      <c r="O608" s="54" t="s">
        <v>156</v>
      </c>
    </row>
    <row r="609" spans="1:15" x14ac:dyDescent="0.35">
      <c r="A609" s="59" t="s">
        <v>184</v>
      </c>
      <c r="B609" s="60">
        <v>44934</v>
      </c>
      <c r="C609" s="54">
        <v>100.00000000000168</v>
      </c>
      <c r="D609" s="54">
        <v>100.00000000000168</v>
      </c>
      <c r="E609"/>
      <c r="F609"/>
      <c r="G609" t="e">
        <v>#N/A</v>
      </c>
      <c r="H609" s="54">
        <v>557</v>
      </c>
      <c r="I609" s="54">
        <v>53</v>
      </c>
      <c r="J609" s="54">
        <v>609</v>
      </c>
      <c r="K609" s="54">
        <v>608</v>
      </c>
      <c r="L609" s="54" t="e">
        <v>#N/A</v>
      </c>
      <c r="M609" s="54" t="s">
        <v>156</v>
      </c>
      <c r="N609" s="54" t="s">
        <v>156</v>
      </c>
      <c r="O609" s="54" t="s">
        <v>156</v>
      </c>
    </row>
    <row r="610" spans="1:15" x14ac:dyDescent="0.35">
      <c r="A610" s="59" t="s">
        <v>184</v>
      </c>
      <c r="B610" s="60">
        <v>44941</v>
      </c>
      <c r="C610" s="54">
        <v>100.00000144667339</v>
      </c>
      <c r="D610" s="54">
        <v>100.00000144667339</v>
      </c>
      <c r="E610"/>
      <c r="F610"/>
      <c r="G610" t="e">
        <v>#N/A</v>
      </c>
      <c r="H610" s="54">
        <v>557</v>
      </c>
      <c r="I610" s="54">
        <v>54</v>
      </c>
      <c r="J610" s="54">
        <v>610</v>
      </c>
      <c r="K610" s="54">
        <v>609</v>
      </c>
      <c r="L610" s="54" t="e">
        <v>#N/A</v>
      </c>
      <c r="M610" s="54" t="s">
        <v>156</v>
      </c>
      <c r="N610" s="54" t="s">
        <v>156</v>
      </c>
      <c r="O610" s="54" t="s">
        <v>156</v>
      </c>
    </row>
    <row r="611" spans="1:15" x14ac:dyDescent="0.35">
      <c r="A611" s="59" t="s">
        <v>184</v>
      </c>
      <c r="B611" s="60">
        <v>44948</v>
      </c>
      <c r="C611" s="54">
        <v>100.00000036266788</v>
      </c>
      <c r="D611" s="54">
        <v>100.00000036266788</v>
      </c>
      <c r="E611"/>
      <c r="F611"/>
      <c r="G611" t="e">
        <v>#N/A</v>
      </c>
      <c r="H611" s="54">
        <v>557</v>
      </c>
      <c r="I611" s="54">
        <v>55</v>
      </c>
      <c r="J611" s="54">
        <v>611</v>
      </c>
      <c r="K611" s="54">
        <v>610</v>
      </c>
      <c r="L611" s="54" t="e">
        <v>#N/A</v>
      </c>
      <c r="M611" s="54" t="s">
        <v>156</v>
      </c>
      <c r="N611" s="54" t="s">
        <v>156</v>
      </c>
      <c r="O611" s="54" t="s">
        <v>156</v>
      </c>
    </row>
    <row r="612" spans="1:15" x14ac:dyDescent="0.35">
      <c r="A612" s="59" t="s">
        <v>184</v>
      </c>
      <c r="B612" s="60">
        <v>44955</v>
      </c>
      <c r="C612" s="54">
        <v>100.00000002229895</v>
      </c>
      <c r="D612" s="54">
        <v>100.00000002229895</v>
      </c>
      <c r="E612"/>
      <c r="F612"/>
      <c r="G612" t="e">
        <v>#N/A</v>
      </c>
      <c r="H612" s="54">
        <v>557</v>
      </c>
      <c r="I612" s="54">
        <v>56</v>
      </c>
      <c r="J612" s="54">
        <v>612</v>
      </c>
      <c r="K612" s="54">
        <v>611</v>
      </c>
      <c r="L612" s="54" t="e">
        <v>#N/A</v>
      </c>
      <c r="M612" s="54" t="s">
        <v>156</v>
      </c>
      <c r="N612" s="54" t="s">
        <v>156</v>
      </c>
      <c r="O612" s="54" t="s">
        <v>156</v>
      </c>
    </row>
    <row r="613" spans="1:15" x14ac:dyDescent="0.35">
      <c r="A613" s="59" t="s">
        <v>184</v>
      </c>
      <c r="B613" s="60">
        <v>44962</v>
      </c>
      <c r="C613" s="54">
        <v>100.00000051077146</v>
      </c>
      <c r="D613" s="54">
        <v>100.00000051077146</v>
      </c>
      <c r="E613"/>
      <c r="F613"/>
      <c r="G613" t="e">
        <v>#N/A</v>
      </c>
      <c r="H613" s="54">
        <v>557</v>
      </c>
      <c r="I613" s="54">
        <v>57</v>
      </c>
      <c r="J613" s="54">
        <v>613</v>
      </c>
      <c r="K613" s="54">
        <v>612</v>
      </c>
      <c r="L613" s="54" t="e">
        <v>#N/A</v>
      </c>
      <c r="M613" s="54" t="s">
        <v>156</v>
      </c>
      <c r="N613" s="54" t="s">
        <v>156</v>
      </c>
      <c r="O613" s="54" t="s">
        <v>156</v>
      </c>
    </row>
    <row r="614" spans="1:15" x14ac:dyDescent="0.35">
      <c r="A614" s="59" t="s">
        <v>184</v>
      </c>
      <c r="B614" s="60">
        <v>44969</v>
      </c>
      <c r="C614" s="54">
        <v>100.00000021764413</v>
      </c>
      <c r="D614" s="54">
        <v>100.00000021764413</v>
      </c>
      <c r="E614"/>
      <c r="F614"/>
      <c r="G614" t="e">
        <v>#N/A</v>
      </c>
      <c r="H614" s="54">
        <v>557</v>
      </c>
      <c r="I614" s="54">
        <v>58</v>
      </c>
      <c r="J614" s="54">
        <v>614</v>
      </c>
      <c r="K614" s="54">
        <v>613</v>
      </c>
      <c r="L614" s="54" t="e">
        <v>#N/A</v>
      </c>
      <c r="M614" s="54" t="s">
        <v>156</v>
      </c>
      <c r="N614" s="54" t="s">
        <v>156</v>
      </c>
      <c r="O614" s="54" t="s">
        <v>156</v>
      </c>
    </row>
    <row r="615" spans="1:15" x14ac:dyDescent="0.35">
      <c r="A615" s="59" t="s">
        <v>184</v>
      </c>
      <c r="B615" s="60">
        <v>44976</v>
      </c>
      <c r="C615" s="54">
        <v>100.00000279949866</v>
      </c>
      <c r="D615" s="54">
        <v>100.00000279949866</v>
      </c>
      <c r="E615"/>
      <c r="F615"/>
      <c r="G615" t="e">
        <v>#N/A</v>
      </c>
      <c r="H615" s="54">
        <v>557</v>
      </c>
      <c r="I615" s="54">
        <v>59</v>
      </c>
      <c r="J615" s="54">
        <v>615</v>
      </c>
      <c r="K615" s="54">
        <v>614</v>
      </c>
      <c r="L615" s="54" t="e">
        <v>#N/A</v>
      </c>
      <c r="M615" s="54" t="s">
        <v>156</v>
      </c>
      <c r="N615" s="54" t="s">
        <v>156</v>
      </c>
      <c r="O615" s="54" t="s">
        <v>156</v>
      </c>
    </row>
    <row r="616" spans="1:15" x14ac:dyDescent="0.35">
      <c r="A616" s="59" t="s">
        <v>184</v>
      </c>
      <c r="B616" s="60">
        <v>44983</v>
      </c>
      <c r="C616" s="54">
        <v>100.00006939157359</v>
      </c>
      <c r="D616" s="54">
        <v>100.00006939157359</v>
      </c>
      <c r="E616"/>
      <c r="F616"/>
      <c r="G616" t="e">
        <v>#N/A</v>
      </c>
      <c r="H616" s="54">
        <v>557</v>
      </c>
      <c r="I616" s="54">
        <v>60</v>
      </c>
      <c r="J616" s="54">
        <v>616</v>
      </c>
      <c r="K616" s="54">
        <v>615</v>
      </c>
      <c r="L616" s="54" t="e">
        <v>#N/A</v>
      </c>
      <c r="M616" s="54" t="s">
        <v>156</v>
      </c>
      <c r="N616" s="54" t="s">
        <v>156</v>
      </c>
      <c r="O616" s="54" t="s">
        <v>156</v>
      </c>
    </row>
    <row r="617" spans="1:15" x14ac:dyDescent="0.35">
      <c r="A617" s="59" t="s">
        <v>184</v>
      </c>
      <c r="B617" s="60">
        <v>44990</v>
      </c>
      <c r="C617" s="54">
        <v>100.06287201096558</v>
      </c>
      <c r="D617" s="54">
        <v>100.06287201096558</v>
      </c>
      <c r="E617"/>
      <c r="F617"/>
      <c r="G617" t="e">
        <v>#N/A</v>
      </c>
      <c r="H617" s="54">
        <v>557</v>
      </c>
      <c r="I617" s="54">
        <v>61</v>
      </c>
      <c r="J617" s="54">
        <v>617</v>
      </c>
      <c r="K617" s="54">
        <v>616</v>
      </c>
      <c r="L617" s="54" t="e">
        <v>#N/A</v>
      </c>
      <c r="M617" s="54" t="s">
        <v>156</v>
      </c>
      <c r="N617" s="54" t="s">
        <v>156</v>
      </c>
      <c r="O617" s="54" t="s">
        <v>156</v>
      </c>
    </row>
    <row r="618" spans="1:15" x14ac:dyDescent="0.35">
      <c r="A618" s="59" t="s">
        <v>184</v>
      </c>
      <c r="B618" s="60">
        <v>44997</v>
      </c>
      <c r="C618" s="54">
        <v>100.00382651177524</v>
      </c>
      <c r="D618" s="54">
        <v>100.00382651177524</v>
      </c>
      <c r="E618"/>
      <c r="F618"/>
      <c r="G618" t="e">
        <v>#N/A</v>
      </c>
      <c r="H618" s="54">
        <v>557</v>
      </c>
      <c r="I618" s="54">
        <v>62</v>
      </c>
      <c r="J618" s="54">
        <v>618</v>
      </c>
      <c r="K618" s="54">
        <v>617</v>
      </c>
      <c r="L618" s="54" t="e">
        <v>#N/A</v>
      </c>
      <c r="M618" s="54" t="s">
        <v>156</v>
      </c>
      <c r="N618" s="54" t="s">
        <v>156</v>
      </c>
      <c r="O618" s="54" t="s">
        <v>156</v>
      </c>
    </row>
    <row r="619" spans="1:15" x14ac:dyDescent="0.35">
      <c r="A619" s="59" t="s">
        <v>184</v>
      </c>
      <c r="B619" s="60">
        <v>45004</v>
      </c>
      <c r="C619" s="54">
        <v>100.05783731513726</v>
      </c>
      <c r="D619" s="54">
        <v>100.05783731513726</v>
      </c>
      <c r="E619"/>
      <c r="F619"/>
      <c r="G619" t="e">
        <v>#N/A</v>
      </c>
      <c r="H619" s="54">
        <v>557</v>
      </c>
      <c r="I619" s="54">
        <v>63</v>
      </c>
      <c r="J619" s="54">
        <v>619</v>
      </c>
      <c r="K619" s="54">
        <v>618</v>
      </c>
      <c r="L619" s="54" t="e">
        <v>#N/A</v>
      </c>
      <c r="M619" s="54" t="s">
        <v>156</v>
      </c>
      <c r="N619" s="54" t="s">
        <v>156</v>
      </c>
      <c r="O619" s="54" t="s">
        <v>156</v>
      </c>
    </row>
    <row r="620" spans="1:15" x14ac:dyDescent="0.35">
      <c r="A620" s="59" t="s">
        <v>184</v>
      </c>
      <c r="B620" s="60">
        <v>45011</v>
      </c>
      <c r="C620" s="54">
        <v>104.16958302803829</v>
      </c>
      <c r="D620" s="54">
        <v>104.16958302803829</v>
      </c>
      <c r="E620"/>
      <c r="F620"/>
      <c r="G620" t="e">
        <v>#N/A</v>
      </c>
      <c r="H620" s="54">
        <v>557</v>
      </c>
      <c r="I620" s="54">
        <v>64</v>
      </c>
      <c r="J620" s="54">
        <v>620</v>
      </c>
      <c r="K620" s="54">
        <v>619</v>
      </c>
      <c r="L620" s="54" t="e">
        <v>#N/A</v>
      </c>
      <c r="M620" s="54" t="s">
        <v>156</v>
      </c>
      <c r="N620" s="54" t="s">
        <v>156</v>
      </c>
      <c r="O620" s="54" t="s">
        <v>156</v>
      </c>
    </row>
    <row r="621" spans="1:15" x14ac:dyDescent="0.35">
      <c r="A621" s="59" t="s">
        <v>184</v>
      </c>
      <c r="B621" s="60">
        <v>45018</v>
      </c>
      <c r="C621" s="54">
        <v>100.03896143414005</v>
      </c>
      <c r="D621" s="54">
        <v>100.03896143414005</v>
      </c>
      <c r="E621"/>
      <c r="F621"/>
      <c r="G621" t="e">
        <v>#N/A</v>
      </c>
      <c r="H621" s="54">
        <v>557</v>
      </c>
      <c r="I621" s="54">
        <v>65</v>
      </c>
      <c r="J621" s="54">
        <v>621</v>
      </c>
      <c r="K621" s="54">
        <v>620</v>
      </c>
      <c r="L621" s="54" t="e">
        <v>#N/A</v>
      </c>
      <c r="M621" s="54" t="s">
        <v>156</v>
      </c>
      <c r="N621" s="54" t="s">
        <v>156</v>
      </c>
      <c r="O621" s="54" t="s">
        <v>156</v>
      </c>
    </row>
    <row r="622" spans="1:15" x14ac:dyDescent="0.35">
      <c r="A622" s="59" t="s">
        <v>184</v>
      </c>
      <c r="B622" s="60">
        <v>45025</v>
      </c>
      <c r="C622" s="54">
        <v>100.50104265170546</v>
      </c>
      <c r="D622" s="54">
        <v>100.50104265170546</v>
      </c>
      <c r="E622"/>
      <c r="F622"/>
      <c r="G622" t="e">
        <v>#N/A</v>
      </c>
      <c r="H622" s="54">
        <v>557</v>
      </c>
      <c r="I622" s="54">
        <v>66</v>
      </c>
      <c r="J622" s="54">
        <v>622</v>
      </c>
      <c r="K622" s="54">
        <v>621</v>
      </c>
      <c r="L622" s="54" t="e">
        <v>#N/A</v>
      </c>
      <c r="M622" s="54" t="s">
        <v>156</v>
      </c>
      <c r="N622" s="54" t="s">
        <v>156</v>
      </c>
      <c r="O622" s="54" t="s">
        <v>156</v>
      </c>
    </row>
    <row r="623" spans="1:15" x14ac:dyDescent="0.35">
      <c r="A623" s="59" t="s">
        <v>184</v>
      </c>
      <c r="B623" s="60">
        <v>45032</v>
      </c>
      <c r="C623" s="54">
        <v>102.94302886525134</v>
      </c>
      <c r="D623" s="54">
        <v>102.94302886525134</v>
      </c>
      <c r="E623"/>
      <c r="F623"/>
      <c r="G623" t="e">
        <v>#N/A</v>
      </c>
      <c r="H623" s="54">
        <v>557</v>
      </c>
      <c r="I623" s="54">
        <v>67</v>
      </c>
      <c r="J623" s="54">
        <v>623</v>
      </c>
      <c r="K623" s="54">
        <v>622</v>
      </c>
      <c r="L623" s="54" t="e">
        <v>#N/A</v>
      </c>
      <c r="M623" s="54" t="s">
        <v>156</v>
      </c>
      <c r="N623" s="54" t="s">
        <v>156</v>
      </c>
      <c r="O623" s="54" t="s">
        <v>156</v>
      </c>
    </row>
    <row r="624" spans="1:15" x14ac:dyDescent="0.35">
      <c r="A624" s="59" t="s">
        <v>184</v>
      </c>
      <c r="B624" s="60">
        <v>45039</v>
      </c>
      <c r="C624" s="54">
        <v>112.48699753417911</v>
      </c>
      <c r="D624" s="54">
        <v>112.48699753417911</v>
      </c>
      <c r="E624"/>
      <c r="F624"/>
      <c r="G624" t="e">
        <v>#N/A</v>
      </c>
      <c r="H624" s="54">
        <v>557</v>
      </c>
      <c r="I624" s="54">
        <v>68</v>
      </c>
      <c r="J624" s="54">
        <v>624</v>
      </c>
      <c r="K624" s="54">
        <v>623</v>
      </c>
      <c r="L624" s="54" t="e">
        <v>#N/A</v>
      </c>
      <c r="M624" s="54" t="s">
        <v>156</v>
      </c>
      <c r="N624" s="54" t="s">
        <v>156</v>
      </c>
      <c r="O624" s="54" t="s">
        <v>156</v>
      </c>
    </row>
    <row r="625" spans="1:15" x14ac:dyDescent="0.35">
      <c r="A625" s="59" t="s">
        <v>184</v>
      </c>
      <c r="B625" s="60">
        <v>45046</v>
      </c>
      <c r="C625" s="54">
        <v>126.99041871397228</v>
      </c>
      <c r="D625" s="54">
        <v>126.99041871397228</v>
      </c>
      <c r="E625"/>
      <c r="F625"/>
      <c r="G625" t="e">
        <v>#N/A</v>
      </c>
      <c r="H625" s="54">
        <v>557</v>
      </c>
      <c r="I625" s="54">
        <v>69</v>
      </c>
      <c r="J625" s="54">
        <v>625</v>
      </c>
      <c r="K625" s="54">
        <v>624</v>
      </c>
      <c r="L625" s="54" t="e">
        <v>#N/A</v>
      </c>
      <c r="M625" s="54" t="s">
        <v>156</v>
      </c>
      <c r="N625" s="54" t="s">
        <v>156</v>
      </c>
      <c r="O625" s="54" t="s">
        <v>156</v>
      </c>
    </row>
    <row r="626" spans="1:15" x14ac:dyDescent="0.35">
      <c r="A626" s="59" t="s">
        <v>184</v>
      </c>
      <c r="B626" s="60">
        <v>45053</v>
      </c>
      <c r="C626" s="54">
        <v>112.37309393374949</v>
      </c>
      <c r="D626" s="54">
        <v>112.37309393374949</v>
      </c>
      <c r="E626"/>
      <c r="F626"/>
      <c r="G626" t="e">
        <v>#N/A</v>
      </c>
      <c r="H626" s="54">
        <v>557</v>
      </c>
      <c r="I626" s="54">
        <v>70</v>
      </c>
      <c r="J626" s="54">
        <v>626</v>
      </c>
      <c r="K626" s="54">
        <v>625</v>
      </c>
      <c r="L626" s="54" t="e">
        <v>#N/A</v>
      </c>
      <c r="M626" s="54" t="s">
        <v>156</v>
      </c>
      <c r="N626" s="54" t="s">
        <v>156</v>
      </c>
      <c r="O626" s="54" t="s">
        <v>156</v>
      </c>
    </row>
    <row r="627" spans="1:15" x14ac:dyDescent="0.35">
      <c r="A627" s="59" t="s">
        <v>184</v>
      </c>
      <c r="B627" s="60">
        <v>45060</v>
      </c>
      <c r="C627" s="54">
        <v>121.93893298378418</v>
      </c>
      <c r="D627" s="54">
        <v>121.93893298378418</v>
      </c>
      <c r="E627"/>
      <c r="F627"/>
      <c r="G627" t="e">
        <v>#N/A</v>
      </c>
      <c r="H627" s="54">
        <v>557</v>
      </c>
      <c r="I627" s="54">
        <v>71</v>
      </c>
      <c r="J627" s="54">
        <v>627</v>
      </c>
      <c r="K627" s="54">
        <v>626</v>
      </c>
      <c r="L627" s="54" t="e">
        <v>#N/A</v>
      </c>
      <c r="M627" s="54" t="s">
        <v>156</v>
      </c>
      <c r="N627" s="54" t="s">
        <v>156</v>
      </c>
      <c r="O627" s="54" t="s">
        <v>156</v>
      </c>
    </row>
    <row r="628" spans="1:15" x14ac:dyDescent="0.35">
      <c r="A628" s="59" t="s">
        <v>184</v>
      </c>
      <c r="B628" s="60">
        <v>45067</v>
      </c>
      <c r="C628" s="54">
        <v>136.31098914407119</v>
      </c>
      <c r="D628" s="54">
        <v>136.31098914407119</v>
      </c>
      <c r="E628"/>
      <c r="F628"/>
      <c r="G628" t="e">
        <v>#N/A</v>
      </c>
      <c r="H628" s="54">
        <v>557</v>
      </c>
      <c r="I628" s="54">
        <v>72</v>
      </c>
      <c r="J628" s="54">
        <v>628</v>
      </c>
      <c r="K628" s="54">
        <v>627</v>
      </c>
      <c r="L628" s="54" t="e">
        <v>#N/A</v>
      </c>
      <c r="M628" s="54" t="s">
        <v>156</v>
      </c>
      <c r="N628" s="54" t="s">
        <v>156</v>
      </c>
      <c r="O628" s="54" t="s">
        <v>156</v>
      </c>
    </row>
    <row r="629" spans="1:15" x14ac:dyDescent="0.35">
      <c r="A629" s="59" t="s">
        <v>184</v>
      </c>
      <c r="B629" s="60">
        <v>45074</v>
      </c>
      <c r="C629" s="54">
        <v>122.93854622731325</v>
      </c>
      <c r="D629" s="54">
        <v>122.93854622731325</v>
      </c>
      <c r="E629"/>
      <c r="F629"/>
      <c r="G629" t="e">
        <v>#N/A</v>
      </c>
      <c r="H629" s="54">
        <v>557</v>
      </c>
      <c r="I629" s="54">
        <v>73</v>
      </c>
      <c r="J629" s="54">
        <v>629</v>
      </c>
      <c r="K629" s="54">
        <v>628</v>
      </c>
      <c r="L629" s="54" t="e">
        <v>#N/A</v>
      </c>
      <c r="M629" s="54" t="s">
        <v>156</v>
      </c>
      <c r="N629" s="54" t="s">
        <v>156</v>
      </c>
      <c r="O629" s="54" t="s">
        <v>156</v>
      </c>
    </row>
    <row r="630" spans="1:15" x14ac:dyDescent="0.35">
      <c r="A630" s="59" t="s">
        <v>184</v>
      </c>
      <c r="B630" s="60">
        <v>45081</v>
      </c>
      <c r="C630" s="54">
        <v>111.43863206581604</v>
      </c>
      <c r="D630" s="54">
        <v>111.43863206581604</v>
      </c>
      <c r="E630"/>
      <c r="F630"/>
      <c r="G630" t="e">
        <v>#N/A</v>
      </c>
      <c r="H630" s="54">
        <v>557</v>
      </c>
      <c r="I630" s="54">
        <v>74</v>
      </c>
      <c r="J630" s="54">
        <v>630</v>
      </c>
      <c r="K630" s="54">
        <v>629</v>
      </c>
      <c r="L630" s="54" t="e">
        <v>#N/A</v>
      </c>
      <c r="M630" s="54" t="s">
        <v>156</v>
      </c>
      <c r="N630" s="54" t="s">
        <v>156</v>
      </c>
      <c r="O630" s="54" t="s">
        <v>156</v>
      </c>
    </row>
    <row r="631" spans="1:15" x14ac:dyDescent="0.35">
      <c r="A631" s="59" t="s">
        <v>184</v>
      </c>
      <c r="B631" s="60">
        <v>45088</v>
      </c>
      <c r="C631" s="54">
        <v>104.65998561338068</v>
      </c>
      <c r="D631" s="54">
        <v>104.65998561338068</v>
      </c>
      <c r="E631"/>
      <c r="F631"/>
      <c r="G631" t="e">
        <v>#N/A</v>
      </c>
      <c r="H631" s="54">
        <v>557</v>
      </c>
      <c r="I631" s="54">
        <v>75</v>
      </c>
      <c r="J631" s="54">
        <v>631</v>
      </c>
      <c r="K631" s="54">
        <v>630</v>
      </c>
      <c r="L631" s="54" t="e">
        <v>#N/A</v>
      </c>
      <c r="M631" s="54" t="s">
        <v>156</v>
      </c>
      <c r="N631" s="54" t="s">
        <v>156</v>
      </c>
      <c r="O631" s="54" t="s">
        <v>156</v>
      </c>
    </row>
    <row r="632" spans="1:15" x14ac:dyDescent="0.35">
      <c r="A632" s="59" t="s">
        <v>184</v>
      </c>
      <c r="B632" s="60">
        <v>45095</v>
      </c>
      <c r="C632" s="54">
        <v>130.39703705774167</v>
      </c>
      <c r="D632" s="54">
        <v>130.39703705774167</v>
      </c>
      <c r="E632"/>
      <c r="F632"/>
      <c r="G632" t="e">
        <v>#N/A</v>
      </c>
      <c r="H632" s="54">
        <v>557</v>
      </c>
      <c r="I632" s="54">
        <v>76</v>
      </c>
      <c r="J632" s="54">
        <v>632</v>
      </c>
      <c r="K632" s="54">
        <v>631</v>
      </c>
      <c r="L632" s="54" t="e">
        <v>#N/A</v>
      </c>
      <c r="M632" s="54" t="s">
        <v>156</v>
      </c>
      <c r="N632" s="54" t="s">
        <v>156</v>
      </c>
      <c r="O632" s="54" t="s">
        <v>156</v>
      </c>
    </row>
    <row r="633" spans="1:15" x14ac:dyDescent="0.35">
      <c r="A633" s="59" t="s">
        <v>184</v>
      </c>
      <c r="B633" s="60">
        <v>45102</v>
      </c>
      <c r="C633" s="54">
        <v>110.26182557588483</v>
      </c>
      <c r="D633" s="54">
        <v>110.26182557588483</v>
      </c>
      <c r="E633"/>
      <c r="F633"/>
      <c r="G633" t="e">
        <v>#N/A</v>
      </c>
      <c r="H633" s="54">
        <v>557</v>
      </c>
      <c r="I633" s="54">
        <v>77</v>
      </c>
      <c r="J633" s="54">
        <v>633</v>
      </c>
      <c r="K633" s="54">
        <v>632</v>
      </c>
      <c r="L633" s="54" t="e">
        <v>#N/A</v>
      </c>
      <c r="M633" s="54" t="s">
        <v>156</v>
      </c>
      <c r="N633" s="54" t="s">
        <v>156</v>
      </c>
      <c r="O633" s="54" t="s">
        <v>156</v>
      </c>
    </row>
    <row r="634" spans="1:15" x14ac:dyDescent="0.35">
      <c r="A634" s="59" t="s">
        <v>184</v>
      </c>
      <c r="B634" s="60">
        <v>45109</v>
      </c>
      <c r="C634" s="54">
        <v>105.76618940902274</v>
      </c>
      <c r="D634" s="54">
        <v>105.76618940902274</v>
      </c>
      <c r="E634"/>
      <c r="F634"/>
      <c r="G634" t="e">
        <v>#N/A</v>
      </c>
      <c r="H634" s="54">
        <v>557</v>
      </c>
      <c r="I634" s="54">
        <v>78</v>
      </c>
      <c r="J634" s="54">
        <v>634</v>
      </c>
      <c r="K634" s="54">
        <v>633</v>
      </c>
      <c r="L634" s="54" t="e">
        <v>#N/A</v>
      </c>
      <c r="M634" s="54" t="s">
        <v>156</v>
      </c>
      <c r="N634" s="54" t="s">
        <v>156</v>
      </c>
      <c r="O634" s="54" t="s">
        <v>156</v>
      </c>
    </row>
    <row r="635" spans="1:15" x14ac:dyDescent="0.35">
      <c r="A635" s="59" t="s">
        <v>184</v>
      </c>
      <c r="B635" s="60">
        <v>45116</v>
      </c>
      <c r="C635" s="54">
        <v>101.0751852150912</v>
      </c>
      <c r="D635" s="54">
        <v>101.0751852150912</v>
      </c>
      <c r="E635"/>
      <c r="F635"/>
      <c r="G635" t="e">
        <v>#N/A</v>
      </c>
      <c r="H635" s="54">
        <v>557</v>
      </c>
      <c r="I635" s="54">
        <v>79</v>
      </c>
      <c r="J635" s="54">
        <v>635</v>
      </c>
      <c r="K635" s="54">
        <v>634</v>
      </c>
      <c r="L635" s="54" t="e">
        <v>#N/A</v>
      </c>
      <c r="M635" s="54" t="s">
        <v>156</v>
      </c>
      <c r="N635" s="54" t="s">
        <v>156</v>
      </c>
      <c r="O635" s="54" t="s">
        <v>156</v>
      </c>
    </row>
    <row r="636" spans="1:15" x14ac:dyDescent="0.35">
      <c r="A636" s="59" t="s">
        <v>184</v>
      </c>
      <c r="B636" s="60">
        <v>45123</v>
      </c>
      <c r="C636" s="54">
        <v>100.16138951016762</v>
      </c>
      <c r="D636" s="54">
        <v>100.16138951016762</v>
      </c>
      <c r="E636"/>
      <c r="F636"/>
      <c r="G636" t="e">
        <v>#N/A</v>
      </c>
      <c r="H636" s="54">
        <v>557</v>
      </c>
      <c r="I636" s="54">
        <v>80</v>
      </c>
      <c r="J636" s="54">
        <v>636</v>
      </c>
      <c r="K636" s="54">
        <v>635</v>
      </c>
      <c r="L636" s="54" t="e">
        <v>#N/A</v>
      </c>
      <c r="M636" s="54" t="s">
        <v>156</v>
      </c>
      <c r="N636" s="54" t="s">
        <v>156</v>
      </c>
      <c r="O636" s="54" t="s">
        <v>156</v>
      </c>
    </row>
    <row r="637" spans="1:15" x14ac:dyDescent="0.35">
      <c r="A637" s="59" t="s">
        <v>184</v>
      </c>
      <c r="B637" s="60">
        <v>45130</v>
      </c>
      <c r="C637" s="54">
        <v>107.03346422361165</v>
      </c>
      <c r="D637" s="54">
        <v>107.03346422361165</v>
      </c>
      <c r="E637"/>
      <c r="F637"/>
      <c r="G637" t="e">
        <v>#N/A</v>
      </c>
      <c r="H637" s="54">
        <v>557</v>
      </c>
      <c r="I637" s="54">
        <v>81</v>
      </c>
      <c r="J637" s="54">
        <v>637</v>
      </c>
      <c r="K637" s="54">
        <v>636</v>
      </c>
      <c r="L637" s="54" t="e">
        <v>#N/A</v>
      </c>
      <c r="M637" s="54" t="s">
        <v>156</v>
      </c>
      <c r="N637" s="54" t="s">
        <v>156</v>
      </c>
      <c r="O637" s="54" t="s">
        <v>156</v>
      </c>
    </row>
    <row r="638" spans="1:15" x14ac:dyDescent="0.35">
      <c r="A638" s="59" t="s">
        <v>184</v>
      </c>
      <c r="B638" s="60">
        <v>45137</v>
      </c>
      <c r="C638" s="54">
        <v>100.85428070692998</v>
      </c>
      <c r="D638" s="54">
        <v>100.85428070692998</v>
      </c>
      <c r="E638"/>
      <c r="F638"/>
      <c r="G638" t="e">
        <v>#N/A</v>
      </c>
      <c r="H638" s="54">
        <v>557</v>
      </c>
      <c r="I638" s="54">
        <v>82</v>
      </c>
      <c r="J638" s="54">
        <v>638</v>
      </c>
      <c r="K638" s="54">
        <v>637</v>
      </c>
      <c r="L638" s="54" t="e">
        <v>#N/A</v>
      </c>
      <c r="M638" s="54" t="s">
        <v>156</v>
      </c>
      <c r="N638" s="54" t="s">
        <v>156</v>
      </c>
      <c r="O638" s="54" t="s">
        <v>156</v>
      </c>
    </row>
    <row r="639" spans="1:15" x14ac:dyDescent="0.35">
      <c r="A639" s="59" t="s">
        <v>184</v>
      </c>
      <c r="B639" s="60">
        <v>45144</v>
      </c>
      <c r="C639" s="54">
        <v>101.95496180679837</v>
      </c>
      <c r="D639" s="54">
        <v>101.95496180679837</v>
      </c>
      <c r="E639"/>
      <c r="F639"/>
      <c r="G639" t="e">
        <v>#N/A</v>
      </c>
      <c r="H639" s="54">
        <v>557</v>
      </c>
      <c r="I639" s="54">
        <v>83</v>
      </c>
      <c r="J639" s="54">
        <v>639</v>
      </c>
      <c r="K639" s="54">
        <v>638</v>
      </c>
      <c r="L639" s="54" t="e">
        <v>#N/A</v>
      </c>
      <c r="M639" s="54" t="s">
        <v>156</v>
      </c>
      <c r="N639" s="54" t="s">
        <v>156</v>
      </c>
      <c r="O639" s="54" t="s">
        <v>156</v>
      </c>
    </row>
    <row r="640" spans="1:15" x14ac:dyDescent="0.35">
      <c r="A640" s="59" t="s">
        <v>184</v>
      </c>
      <c r="B640" s="60">
        <v>45151</v>
      </c>
      <c r="C640" s="54">
        <v>103.35428748338877</v>
      </c>
      <c r="D640" s="54">
        <v>103.35428748338877</v>
      </c>
      <c r="E640"/>
      <c r="F640"/>
      <c r="G640" t="e">
        <v>#N/A</v>
      </c>
      <c r="H640" s="54">
        <v>557</v>
      </c>
      <c r="I640" s="54">
        <v>84</v>
      </c>
      <c r="J640" s="54">
        <v>640</v>
      </c>
      <c r="K640" s="54">
        <v>639</v>
      </c>
      <c r="L640" s="54" t="e">
        <v>#N/A</v>
      </c>
      <c r="M640" s="54" t="s">
        <v>156</v>
      </c>
      <c r="N640" s="54" t="s">
        <v>156</v>
      </c>
      <c r="O640" s="54" t="s">
        <v>156</v>
      </c>
    </row>
    <row r="641" spans="1:15" x14ac:dyDescent="0.35">
      <c r="A641" s="59" t="s">
        <v>184</v>
      </c>
      <c r="B641" s="60">
        <v>45158</v>
      </c>
      <c r="C641" s="54">
        <v>100.52505452324139</v>
      </c>
      <c r="D641" s="54">
        <v>100.52505452324139</v>
      </c>
      <c r="E641"/>
      <c r="F641"/>
      <c r="G641" t="e">
        <v>#N/A</v>
      </c>
      <c r="H641" s="54">
        <v>557</v>
      </c>
      <c r="I641" s="54">
        <v>85</v>
      </c>
      <c r="J641" s="54">
        <v>641</v>
      </c>
      <c r="K641" s="54">
        <v>640</v>
      </c>
      <c r="L641" s="54" t="e">
        <v>#N/A</v>
      </c>
      <c r="M641" s="54" t="s">
        <v>156</v>
      </c>
      <c r="N641" s="54" t="s">
        <v>156</v>
      </c>
      <c r="O641" s="54" t="s">
        <v>156</v>
      </c>
    </row>
    <row r="642" spans="1:15" x14ac:dyDescent="0.35">
      <c r="A642" s="59" t="s">
        <v>184</v>
      </c>
      <c r="B642" s="60">
        <v>45165</v>
      </c>
      <c r="C642" s="54">
        <v>101.85631636865168</v>
      </c>
      <c r="D642" s="54">
        <v>101.85631636865168</v>
      </c>
      <c r="E642"/>
      <c r="F642"/>
      <c r="G642" t="e">
        <v>#N/A</v>
      </c>
      <c r="H642" s="54">
        <v>557</v>
      </c>
      <c r="I642" s="54">
        <v>86</v>
      </c>
      <c r="J642" s="54">
        <v>642</v>
      </c>
      <c r="K642" s="54">
        <v>641</v>
      </c>
      <c r="L642" s="54" t="e">
        <v>#N/A</v>
      </c>
      <c r="M642" s="54" t="s">
        <v>156</v>
      </c>
      <c r="N642" s="54" t="s">
        <v>156</v>
      </c>
      <c r="O642" s="54" t="s">
        <v>156</v>
      </c>
    </row>
    <row r="643" spans="1:15" x14ac:dyDescent="0.35">
      <c r="A643" s="59" t="s">
        <v>184</v>
      </c>
      <c r="B643" s="60">
        <v>45172</v>
      </c>
      <c r="C643" s="54">
        <v>100.29187715358005</v>
      </c>
      <c r="D643" s="54">
        <v>100.29187715358005</v>
      </c>
      <c r="E643"/>
      <c r="F643"/>
      <c r="G643" t="e">
        <v>#N/A</v>
      </c>
      <c r="H643" s="54">
        <v>557</v>
      </c>
      <c r="I643" s="54">
        <v>87</v>
      </c>
      <c r="J643" s="54">
        <v>643</v>
      </c>
      <c r="K643" s="54">
        <v>642</v>
      </c>
      <c r="L643" s="54" t="e">
        <v>#N/A</v>
      </c>
      <c r="M643" s="54" t="s">
        <v>156</v>
      </c>
      <c r="N643" s="54" t="s">
        <v>156</v>
      </c>
      <c r="O643" s="54" t="s">
        <v>156</v>
      </c>
    </row>
    <row r="644" spans="1:15" x14ac:dyDescent="0.35">
      <c r="A644" s="59" t="s">
        <v>184</v>
      </c>
      <c r="B644" s="60">
        <v>45179</v>
      </c>
      <c r="C644" s="54">
        <v>104.8544405244116</v>
      </c>
      <c r="D644" s="54">
        <v>104.8544405244116</v>
      </c>
      <c r="E644"/>
      <c r="F644"/>
      <c r="G644" t="e">
        <v>#N/A</v>
      </c>
      <c r="H644" s="54">
        <v>557</v>
      </c>
      <c r="I644" s="54">
        <v>88</v>
      </c>
      <c r="J644" s="54">
        <v>644</v>
      </c>
      <c r="K644" s="54">
        <v>643</v>
      </c>
      <c r="L644" s="54" t="e">
        <v>#N/A</v>
      </c>
      <c r="M644" s="54" t="s">
        <v>156</v>
      </c>
      <c r="N644" s="54" t="s">
        <v>156</v>
      </c>
      <c r="O644" s="54" t="s">
        <v>156</v>
      </c>
    </row>
    <row r="645" spans="1:15" x14ac:dyDescent="0.35">
      <c r="A645" s="59" t="s">
        <v>184</v>
      </c>
      <c r="B645" s="60">
        <v>45186</v>
      </c>
      <c r="C645" s="54">
        <v>107.35405121994214</v>
      </c>
      <c r="D645" s="54">
        <v>107.35405121994214</v>
      </c>
      <c r="E645"/>
      <c r="F645"/>
      <c r="G645" t="e">
        <v>#N/A</v>
      </c>
      <c r="H645" s="54">
        <v>557</v>
      </c>
      <c r="I645" s="54">
        <v>89</v>
      </c>
      <c r="J645" s="54">
        <v>645</v>
      </c>
      <c r="K645" s="54">
        <v>644</v>
      </c>
      <c r="L645" s="54" t="e">
        <v>#N/A</v>
      </c>
      <c r="M645" s="54" t="s">
        <v>156</v>
      </c>
      <c r="N645" s="54" t="s">
        <v>156</v>
      </c>
      <c r="O645" s="54" t="s">
        <v>156</v>
      </c>
    </row>
    <row r="646" spans="1:15" x14ac:dyDescent="0.35">
      <c r="A646" s="59" t="s">
        <v>184</v>
      </c>
      <c r="B646" s="60">
        <v>45193</v>
      </c>
      <c r="C646" s="54">
        <v>109.89130185345232</v>
      </c>
      <c r="D646" s="54">
        <v>109.89130185345232</v>
      </c>
      <c r="E646"/>
      <c r="F646"/>
      <c r="G646" t="e">
        <v>#N/A</v>
      </c>
      <c r="H646" s="54">
        <v>557</v>
      </c>
      <c r="I646" s="54">
        <v>90</v>
      </c>
      <c r="J646" s="54">
        <v>646</v>
      </c>
      <c r="K646" s="54">
        <v>645</v>
      </c>
      <c r="L646" s="54" t="e">
        <v>#N/A</v>
      </c>
      <c r="M646" s="54" t="s">
        <v>156</v>
      </c>
      <c r="N646" s="54" t="s">
        <v>156</v>
      </c>
      <c r="O646" s="54" t="s">
        <v>156</v>
      </c>
    </row>
    <row r="647" spans="1:15" x14ac:dyDescent="0.35">
      <c r="A647" s="59" t="s">
        <v>184</v>
      </c>
      <c r="B647" s="60">
        <v>45200</v>
      </c>
      <c r="C647" s="54">
        <v>105.47477312306877</v>
      </c>
      <c r="D647" s="54">
        <v>105.47477312306877</v>
      </c>
      <c r="E647"/>
      <c r="F647"/>
      <c r="G647" t="e">
        <v>#N/A</v>
      </c>
      <c r="H647" s="54">
        <v>557</v>
      </c>
      <c r="I647" s="54">
        <v>91</v>
      </c>
      <c r="J647" s="54">
        <v>647</v>
      </c>
      <c r="K647" s="54">
        <v>646</v>
      </c>
      <c r="L647" s="54" t="e">
        <v>#N/A</v>
      </c>
      <c r="M647" s="54" t="s">
        <v>156</v>
      </c>
      <c r="N647" s="54" t="s">
        <v>156</v>
      </c>
      <c r="O647" s="54" t="s">
        <v>156</v>
      </c>
    </row>
    <row r="648" spans="1:15" x14ac:dyDescent="0.35">
      <c r="A648" s="59" t="s">
        <v>184</v>
      </c>
      <c r="B648" s="60">
        <v>45207</v>
      </c>
      <c r="C648" s="54">
        <v>105.05042837128441</v>
      </c>
      <c r="D648" s="54">
        <v>105.05042837128441</v>
      </c>
      <c r="E648"/>
      <c r="F648"/>
      <c r="G648" t="e">
        <v>#N/A</v>
      </c>
      <c r="H648" s="54">
        <v>557</v>
      </c>
      <c r="I648" s="54">
        <v>92</v>
      </c>
      <c r="J648" s="54">
        <v>648</v>
      </c>
      <c r="K648" s="54">
        <v>647</v>
      </c>
      <c r="L648" s="54" t="e">
        <v>#N/A</v>
      </c>
      <c r="M648" s="54" t="s">
        <v>156</v>
      </c>
      <c r="N648" s="54" t="s">
        <v>156</v>
      </c>
      <c r="O648" s="54" t="s">
        <v>156</v>
      </c>
    </row>
    <row r="649" spans="1:15" x14ac:dyDescent="0.35">
      <c r="A649" s="59" t="s">
        <v>184</v>
      </c>
      <c r="B649" s="60">
        <v>45214</v>
      </c>
      <c r="C649" s="54">
        <v>108.81918692221258</v>
      </c>
      <c r="D649" s="54">
        <v>108.81918692221258</v>
      </c>
      <c r="E649"/>
      <c r="F649"/>
      <c r="G649" t="e">
        <v>#N/A</v>
      </c>
      <c r="H649" s="54">
        <v>557</v>
      </c>
      <c r="I649" s="54">
        <v>93</v>
      </c>
      <c r="J649" s="54">
        <v>649</v>
      </c>
      <c r="K649" s="54">
        <v>648</v>
      </c>
      <c r="L649" s="54" t="e">
        <v>#N/A</v>
      </c>
      <c r="M649" s="54" t="s">
        <v>156</v>
      </c>
      <c r="N649" s="54" t="s">
        <v>156</v>
      </c>
      <c r="O649" s="54" t="s">
        <v>156</v>
      </c>
    </row>
    <row r="650" spans="1:15" x14ac:dyDescent="0.35">
      <c r="A650" s="59" t="s">
        <v>184</v>
      </c>
      <c r="B650" s="60">
        <v>45221</v>
      </c>
      <c r="C650" s="54">
        <v>113.0851853069254</v>
      </c>
      <c r="D650" s="54">
        <v>113.0851853069254</v>
      </c>
      <c r="E650"/>
      <c r="F650"/>
      <c r="G650" t="e">
        <v>#N/A</v>
      </c>
      <c r="H650" s="54">
        <v>557</v>
      </c>
      <c r="I650" s="54">
        <v>94</v>
      </c>
      <c r="J650" s="54">
        <v>650</v>
      </c>
      <c r="K650" s="54">
        <v>649</v>
      </c>
      <c r="L650" s="54" t="e">
        <v>#N/A</v>
      </c>
      <c r="M650" s="54" t="s">
        <v>156</v>
      </c>
      <c r="N650" s="54" t="s">
        <v>156</v>
      </c>
      <c r="O650" s="54" t="s">
        <v>156</v>
      </c>
    </row>
    <row r="651" spans="1:15" x14ac:dyDescent="0.35">
      <c r="A651" s="59" t="s">
        <v>184</v>
      </c>
      <c r="B651" s="60">
        <v>45228</v>
      </c>
      <c r="C651" s="54">
        <v>118.45451758970998</v>
      </c>
      <c r="D651" s="54">
        <v>118.45451758970998</v>
      </c>
      <c r="E651"/>
      <c r="F651"/>
      <c r="G651" t="e">
        <v>#N/A</v>
      </c>
      <c r="H651" s="54">
        <v>557</v>
      </c>
      <c r="I651" s="54">
        <v>95</v>
      </c>
      <c r="J651" s="54">
        <v>651</v>
      </c>
      <c r="K651" s="54">
        <v>650</v>
      </c>
      <c r="L651" s="54" t="e">
        <v>#N/A</v>
      </c>
      <c r="M651" s="54" t="s">
        <v>156</v>
      </c>
      <c r="N651" s="54" t="s">
        <v>156</v>
      </c>
      <c r="O651" s="54" t="s">
        <v>156</v>
      </c>
    </row>
    <row r="652" spans="1:15" x14ac:dyDescent="0.35">
      <c r="A652" s="59" t="s">
        <v>184</v>
      </c>
      <c r="B652" s="60">
        <v>45235</v>
      </c>
      <c r="C652" s="54">
        <v>101.95160557253656</v>
      </c>
      <c r="D652" s="54">
        <v>101.95160557253656</v>
      </c>
      <c r="E652"/>
      <c r="F652"/>
      <c r="G652" t="e">
        <v>#N/A</v>
      </c>
      <c r="H652" s="54">
        <v>557</v>
      </c>
      <c r="I652" s="54">
        <v>96</v>
      </c>
      <c r="J652" s="54">
        <v>652</v>
      </c>
      <c r="K652" s="54">
        <v>651</v>
      </c>
      <c r="L652" s="54" t="e">
        <v>#N/A</v>
      </c>
      <c r="M652" s="54" t="s">
        <v>156</v>
      </c>
      <c r="N652" s="54" t="s">
        <v>156</v>
      </c>
      <c r="O652" s="54" t="s">
        <v>156</v>
      </c>
    </row>
    <row r="653" spans="1:15" x14ac:dyDescent="0.35">
      <c r="A653" s="59" t="s">
        <v>184</v>
      </c>
      <c r="B653" s="60">
        <v>45242</v>
      </c>
      <c r="C653" s="54">
        <v>102.91753806553893</v>
      </c>
      <c r="D653" s="54">
        <v>102.91753806553893</v>
      </c>
      <c r="E653"/>
      <c r="F653"/>
      <c r="G653" t="e">
        <v>#N/A</v>
      </c>
      <c r="H653" s="54">
        <v>557</v>
      </c>
      <c r="I653" s="54">
        <v>97</v>
      </c>
      <c r="J653" s="54">
        <v>653</v>
      </c>
      <c r="K653" s="54">
        <v>652</v>
      </c>
      <c r="L653" s="54" t="e">
        <v>#N/A</v>
      </c>
      <c r="M653" s="54" t="s">
        <v>156</v>
      </c>
      <c r="N653" s="54" t="s">
        <v>156</v>
      </c>
      <c r="O653" s="54" t="s">
        <v>156</v>
      </c>
    </row>
    <row r="654" spans="1:15" x14ac:dyDescent="0.35">
      <c r="A654" s="59" t="s">
        <v>184</v>
      </c>
      <c r="B654" s="60">
        <v>45249</v>
      </c>
      <c r="C654" s="54">
        <v>104.66584395845631</v>
      </c>
      <c r="D654" s="54">
        <v>104.66584395845631</v>
      </c>
      <c r="E654"/>
      <c r="F654"/>
      <c r="G654" t="e">
        <v>#N/A</v>
      </c>
      <c r="H654" s="54">
        <v>557</v>
      </c>
      <c r="I654" s="54">
        <v>98</v>
      </c>
      <c r="J654" s="54">
        <v>654</v>
      </c>
      <c r="K654" s="54">
        <v>653</v>
      </c>
      <c r="L654" s="54" t="e">
        <v>#N/A</v>
      </c>
      <c r="M654" s="54" t="s">
        <v>156</v>
      </c>
      <c r="N654" s="54" t="s">
        <v>156</v>
      </c>
      <c r="O654" s="54" t="s">
        <v>156</v>
      </c>
    </row>
    <row r="655" spans="1:15" x14ac:dyDescent="0.35">
      <c r="A655" s="59" t="s">
        <v>184</v>
      </c>
      <c r="B655" s="60">
        <v>45256</v>
      </c>
      <c r="C655" s="54">
        <v>100.71079737386316</v>
      </c>
      <c r="D655" s="54">
        <v>100.71079737386316</v>
      </c>
      <c r="E655"/>
      <c r="F655"/>
      <c r="G655" t="e">
        <v>#N/A</v>
      </c>
      <c r="H655" s="54">
        <v>557</v>
      </c>
      <c r="I655" s="54">
        <v>99</v>
      </c>
      <c r="J655" s="54">
        <v>655</v>
      </c>
      <c r="K655" s="54">
        <v>654</v>
      </c>
      <c r="L655" s="54" t="e">
        <v>#N/A</v>
      </c>
      <c r="M655" s="54" t="s">
        <v>156</v>
      </c>
      <c r="N655" s="54" t="s">
        <v>156</v>
      </c>
      <c r="O655" s="54" t="s">
        <v>156</v>
      </c>
    </row>
    <row r="656" spans="1:15" x14ac:dyDescent="0.35">
      <c r="A656" s="59" t="s">
        <v>184</v>
      </c>
      <c r="B656" s="60">
        <v>45263</v>
      </c>
      <c r="C656" s="54">
        <v>100.33598072424367</v>
      </c>
      <c r="D656" s="54">
        <v>100.33598072424367</v>
      </c>
      <c r="E656"/>
      <c r="F656"/>
      <c r="G656" t="e">
        <v>#N/A</v>
      </c>
      <c r="H656" s="54">
        <v>557</v>
      </c>
      <c r="I656" s="54">
        <v>100</v>
      </c>
      <c r="J656" s="54">
        <v>656</v>
      </c>
      <c r="K656" s="54">
        <v>655</v>
      </c>
      <c r="L656" s="54" t="e">
        <v>#N/A</v>
      </c>
      <c r="M656" s="54" t="s">
        <v>156</v>
      </c>
      <c r="N656" s="54" t="s">
        <v>156</v>
      </c>
      <c r="O656" s="54" t="s">
        <v>156</v>
      </c>
    </row>
    <row r="657" spans="1:15" x14ac:dyDescent="0.35">
      <c r="A657" s="59" t="s">
        <v>184</v>
      </c>
      <c r="B657" s="60">
        <v>45270</v>
      </c>
      <c r="C657" s="54">
        <v>100.07976482764678</v>
      </c>
      <c r="D657" s="54">
        <v>100.07976482764678</v>
      </c>
      <c r="E657"/>
      <c r="F657"/>
      <c r="G657" t="e">
        <v>#N/A</v>
      </c>
      <c r="H657" s="54">
        <v>557</v>
      </c>
      <c r="I657" s="54">
        <v>101</v>
      </c>
      <c r="J657" s="54">
        <v>657</v>
      </c>
      <c r="K657" s="54">
        <v>656</v>
      </c>
      <c r="L657" s="54" t="e">
        <v>#N/A</v>
      </c>
      <c r="M657" s="54" t="s">
        <v>156</v>
      </c>
      <c r="N657" s="54" t="s">
        <v>156</v>
      </c>
      <c r="O657" s="54" t="s">
        <v>156</v>
      </c>
    </row>
    <row r="658" spans="1:15" x14ac:dyDescent="0.35">
      <c r="A658" s="59" t="s">
        <v>184</v>
      </c>
      <c r="B658" s="60">
        <v>45277</v>
      </c>
      <c r="C658" s="54">
        <v>100.34121293021138</v>
      </c>
      <c r="D658" s="54">
        <v>100.34121293021138</v>
      </c>
      <c r="E658"/>
      <c r="F658"/>
      <c r="G658" t="e">
        <v>#N/A</v>
      </c>
      <c r="H658" s="54">
        <v>557</v>
      </c>
      <c r="I658" s="54">
        <v>102</v>
      </c>
      <c r="J658" s="54">
        <v>658</v>
      </c>
      <c r="K658" s="54">
        <v>657</v>
      </c>
      <c r="L658" s="54" t="e">
        <v>#N/A</v>
      </c>
      <c r="M658" s="54" t="s">
        <v>156</v>
      </c>
      <c r="N658" s="54" t="s">
        <v>156</v>
      </c>
      <c r="O658" s="54" t="s">
        <v>156</v>
      </c>
    </row>
    <row r="659" spans="1:15" x14ac:dyDescent="0.35">
      <c r="A659" s="59" t="s">
        <v>184</v>
      </c>
      <c r="B659" s="60">
        <v>45284</v>
      </c>
      <c r="C659" s="54">
        <v>100.26493431914309</v>
      </c>
      <c r="D659" s="54">
        <v>100.26493431914309</v>
      </c>
      <c r="E659"/>
      <c r="F659"/>
      <c r="G659" t="e">
        <v>#N/A</v>
      </c>
      <c r="H659" s="54">
        <v>557</v>
      </c>
      <c r="I659" s="54">
        <v>103</v>
      </c>
      <c r="J659" s="54">
        <v>659</v>
      </c>
      <c r="K659" s="54">
        <v>658</v>
      </c>
      <c r="L659" s="54" t="e">
        <v>#N/A</v>
      </c>
      <c r="M659" s="54" t="s">
        <v>156</v>
      </c>
      <c r="N659" s="54" t="s">
        <v>156</v>
      </c>
      <c r="O659" s="54" t="s">
        <v>156</v>
      </c>
    </row>
    <row r="660" spans="1:15" x14ac:dyDescent="0.35">
      <c r="A660" s="59" t="s">
        <v>184</v>
      </c>
      <c r="B660" s="60">
        <v>45291</v>
      </c>
      <c r="C660" s="54">
        <v>100.09086031983007</v>
      </c>
      <c r="D660" s="54">
        <v>100.09086031983007</v>
      </c>
      <c r="E660"/>
      <c r="F660"/>
      <c r="G660" t="e">
        <v>#N/A</v>
      </c>
      <c r="H660" s="54">
        <v>557</v>
      </c>
      <c r="I660" s="54">
        <v>104</v>
      </c>
      <c r="J660" s="54">
        <v>660</v>
      </c>
      <c r="K660" s="54">
        <v>659</v>
      </c>
      <c r="L660" s="54" t="e">
        <v>#N/A</v>
      </c>
      <c r="M660" s="54" t="s">
        <v>156</v>
      </c>
      <c r="N660" s="54" t="s">
        <v>156</v>
      </c>
      <c r="O660" s="54" t="s">
        <v>156</v>
      </c>
    </row>
    <row r="661" spans="1:15" x14ac:dyDescent="0.35">
      <c r="A661" s="59" t="s">
        <v>184</v>
      </c>
      <c r="B661" s="60">
        <v>45298</v>
      </c>
      <c r="C661" s="54">
        <v>100.000000008889</v>
      </c>
      <c r="D661" s="54">
        <v>100.000000008889</v>
      </c>
      <c r="E661"/>
      <c r="F661"/>
      <c r="G661" t="e">
        <v>#N/A</v>
      </c>
      <c r="H661" s="54">
        <v>557</v>
      </c>
      <c r="I661" s="54">
        <v>105</v>
      </c>
      <c r="J661" s="54">
        <v>661</v>
      </c>
      <c r="K661" s="54">
        <v>660</v>
      </c>
      <c r="L661" s="54" t="e">
        <v>#N/A</v>
      </c>
      <c r="M661" s="54" t="s">
        <v>156</v>
      </c>
      <c r="N661" s="54" t="s">
        <v>156</v>
      </c>
      <c r="O661" s="54" t="s">
        <v>156</v>
      </c>
    </row>
    <row r="662" spans="1:15" x14ac:dyDescent="0.35">
      <c r="A662" s="59" t="s">
        <v>184</v>
      </c>
      <c r="B662" s="60">
        <v>45305</v>
      </c>
      <c r="C662" s="54">
        <v>100.00000005683501</v>
      </c>
      <c r="D662" s="54">
        <v>100.00000005683501</v>
      </c>
      <c r="E662"/>
      <c r="F662"/>
      <c r="G662" t="e">
        <v>#N/A</v>
      </c>
      <c r="H662" s="54">
        <v>557</v>
      </c>
      <c r="I662" s="54">
        <v>106</v>
      </c>
      <c r="J662" s="54">
        <v>662</v>
      </c>
      <c r="K662" s="54">
        <v>661</v>
      </c>
      <c r="L662" s="54" t="e">
        <v>#N/A</v>
      </c>
      <c r="M662" s="54" t="s">
        <v>156</v>
      </c>
      <c r="N662" s="54" t="s">
        <v>156</v>
      </c>
      <c r="O662" s="54" t="s">
        <v>156</v>
      </c>
    </row>
    <row r="663" spans="1:15" x14ac:dyDescent="0.35">
      <c r="A663" s="59" t="s">
        <v>184</v>
      </c>
      <c r="B663" s="60">
        <v>45312</v>
      </c>
      <c r="C663" s="54">
        <v>100.00000025101076</v>
      </c>
      <c r="D663" s="54">
        <v>100.00000025101076</v>
      </c>
      <c r="E663"/>
      <c r="F663"/>
      <c r="G663" t="e">
        <v>#N/A</v>
      </c>
      <c r="H663" s="54">
        <v>557</v>
      </c>
      <c r="I663" s="54">
        <v>107</v>
      </c>
      <c r="J663" s="54">
        <v>663</v>
      </c>
      <c r="K663" s="54">
        <v>662</v>
      </c>
      <c r="L663" s="54" t="e">
        <v>#N/A</v>
      </c>
      <c r="M663" s="54" t="s">
        <v>156</v>
      </c>
      <c r="N663" s="54" t="s">
        <v>156</v>
      </c>
      <c r="O663" s="54" t="s">
        <v>156</v>
      </c>
    </row>
    <row r="664" spans="1:15" x14ac:dyDescent="0.35">
      <c r="A664" s="59" t="s">
        <v>184</v>
      </c>
      <c r="B664" s="60">
        <v>45319</v>
      </c>
      <c r="C664" s="54">
        <v>100.00217775891427</v>
      </c>
      <c r="D664" s="54">
        <v>100.00217775891427</v>
      </c>
      <c r="E664"/>
      <c r="F664"/>
      <c r="G664" t="e">
        <v>#N/A</v>
      </c>
      <c r="H664" s="54">
        <v>557</v>
      </c>
      <c r="I664" s="54">
        <v>108</v>
      </c>
      <c r="J664" s="54">
        <v>664</v>
      </c>
      <c r="K664" s="54">
        <v>663</v>
      </c>
      <c r="L664" s="54" t="e">
        <v>#N/A</v>
      </c>
      <c r="M664" s="54" t="s">
        <v>156</v>
      </c>
      <c r="N664" s="54" t="s">
        <v>156</v>
      </c>
      <c r="O664" s="54" t="s">
        <v>156</v>
      </c>
    </row>
    <row r="665" spans="1:15" x14ac:dyDescent="0.35">
      <c r="A665" s="59" t="s">
        <v>184</v>
      </c>
      <c r="B665" s="60">
        <v>45326</v>
      </c>
      <c r="C665" s="54">
        <v>100.00000504807301</v>
      </c>
      <c r="D665" s="54">
        <v>100.00000504807301</v>
      </c>
      <c r="E665"/>
      <c r="F665"/>
      <c r="G665" t="e">
        <v>#N/A</v>
      </c>
      <c r="H665" s="54">
        <v>557</v>
      </c>
      <c r="I665" s="54">
        <v>109</v>
      </c>
      <c r="J665" s="54">
        <v>665</v>
      </c>
      <c r="K665" s="54">
        <v>664</v>
      </c>
      <c r="L665" s="54" t="e">
        <v>#N/A</v>
      </c>
      <c r="M665" s="54" t="s">
        <v>156</v>
      </c>
      <c r="N665" s="54" t="s">
        <v>156</v>
      </c>
      <c r="O665" s="54" t="s">
        <v>156</v>
      </c>
    </row>
    <row r="666" spans="1:15" x14ac:dyDescent="0.35">
      <c r="A666" s="59" t="s">
        <v>184</v>
      </c>
      <c r="B666" s="60">
        <v>45333</v>
      </c>
      <c r="C666" s="54">
        <v>100.01594053061174</v>
      </c>
      <c r="D666" s="54">
        <v>100.01594053061174</v>
      </c>
      <c r="E666"/>
      <c r="F666"/>
      <c r="G666" t="e">
        <v>#N/A</v>
      </c>
      <c r="H666" s="54">
        <v>557</v>
      </c>
      <c r="I666" s="54">
        <v>110</v>
      </c>
      <c r="J666" s="54">
        <v>666</v>
      </c>
      <c r="K666" s="54">
        <v>665</v>
      </c>
      <c r="L666" s="54" t="e">
        <v>#N/A</v>
      </c>
      <c r="M666" s="54" t="s">
        <v>156</v>
      </c>
      <c r="N666" s="54" t="s">
        <v>156</v>
      </c>
      <c r="O666" s="54" t="s">
        <v>156</v>
      </c>
    </row>
    <row r="667" spans="1:15" x14ac:dyDescent="0.35">
      <c r="A667" s="59" t="s">
        <v>184</v>
      </c>
      <c r="B667" s="60">
        <v>45340</v>
      </c>
      <c r="C667" s="54">
        <v>100.00204224833618</v>
      </c>
      <c r="D667" s="54">
        <v>100.00204224833618</v>
      </c>
      <c r="E667"/>
      <c r="F667"/>
      <c r="G667" t="e">
        <v>#N/A</v>
      </c>
      <c r="H667" s="54">
        <v>557</v>
      </c>
      <c r="I667" s="54">
        <v>111</v>
      </c>
      <c r="J667" s="54">
        <v>667</v>
      </c>
      <c r="K667" s="54">
        <v>666</v>
      </c>
      <c r="L667" s="54" t="e">
        <v>#N/A</v>
      </c>
      <c r="M667" s="54" t="s">
        <v>156</v>
      </c>
      <c r="N667" s="54" t="s">
        <v>156</v>
      </c>
      <c r="O667" s="54" t="s">
        <v>156</v>
      </c>
    </row>
    <row r="668" spans="1:15" x14ac:dyDescent="0.35">
      <c r="A668" s="59" t="s">
        <v>184</v>
      </c>
      <c r="B668" s="60">
        <v>45347</v>
      </c>
      <c r="C668" s="54">
        <v>100.00004339386403</v>
      </c>
      <c r="D668" s="54">
        <v>100.00004339386403</v>
      </c>
      <c r="E668"/>
      <c r="F668"/>
      <c r="G668" t="e">
        <v>#N/A</v>
      </c>
      <c r="H668" s="54">
        <v>557</v>
      </c>
      <c r="I668" s="54">
        <v>112</v>
      </c>
      <c r="J668" s="54">
        <v>668</v>
      </c>
      <c r="K668" s="54">
        <v>667</v>
      </c>
      <c r="L668" s="54" t="e">
        <v>#N/A</v>
      </c>
      <c r="M668" s="54" t="s">
        <v>156</v>
      </c>
      <c r="N668" s="54" t="s">
        <v>156</v>
      </c>
      <c r="O668" s="54" t="s">
        <v>156</v>
      </c>
    </row>
    <row r="669" spans="1:15" x14ac:dyDescent="0.35">
      <c r="A669" s="59" t="s">
        <v>184</v>
      </c>
      <c r="B669" s="60">
        <v>45354</v>
      </c>
      <c r="C669" s="54">
        <v>100.05503383403891</v>
      </c>
      <c r="D669" s="54">
        <v>100.05503383403891</v>
      </c>
      <c r="E669"/>
      <c r="F669"/>
      <c r="G669" t="e">
        <v>#N/A</v>
      </c>
      <c r="H669" s="54">
        <v>557</v>
      </c>
      <c r="I669" s="54">
        <v>113</v>
      </c>
      <c r="J669" s="54">
        <v>669</v>
      </c>
      <c r="K669" s="54">
        <v>668</v>
      </c>
      <c r="L669" s="54" t="e">
        <v>#N/A</v>
      </c>
      <c r="M669" s="54" t="s">
        <v>156</v>
      </c>
      <c r="N669" s="54" t="s">
        <v>156</v>
      </c>
      <c r="O669" s="54" t="s">
        <v>156</v>
      </c>
    </row>
    <row r="670" spans="1:15" x14ac:dyDescent="0.35">
      <c r="A670" s="59" t="s">
        <v>184</v>
      </c>
      <c r="B670" s="60">
        <v>45361</v>
      </c>
      <c r="C670" s="54">
        <v>100.01153686870794</v>
      </c>
      <c r="D670" s="54">
        <v>100.01153686870794</v>
      </c>
      <c r="E670"/>
      <c r="F670"/>
      <c r="G670" t="e">
        <v>#N/A</v>
      </c>
      <c r="H670" s="54">
        <v>557</v>
      </c>
      <c r="I670" s="54">
        <v>114</v>
      </c>
      <c r="J670" s="54">
        <v>670</v>
      </c>
      <c r="K670" s="54">
        <v>669</v>
      </c>
      <c r="L670" s="54" t="e">
        <v>#N/A</v>
      </c>
      <c r="M670" s="54" t="s">
        <v>156</v>
      </c>
      <c r="N670" s="54" t="s">
        <v>156</v>
      </c>
      <c r="O670" s="54" t="s">
        <v>156</v>
      </c>
    </row>
    <row r="671" spans="1:15" x14ac:dyDescent="0.35">
      <c r="A671" s="59" t="s">
        <v>184</v>
      </c>
      <c r="B671" s="60">
        <v>45368</v>
      </c>
      <c r="C671" s="54">
        <v>100.00498341946312</v>
      </c>
      <c r="D671" s="54">
        <v>100.00498341946312</v>
      </c>
      <c r="E671"/>
      <c r="F671"/>
      <c r="G671" t="e">
        <v>#N/A</v>
      </c>
      <c r="H671" s="54">
        <v>557</v>
      </c>
      <c r="I671" s="54">
        <v>115</v>
      </c>
      <c r="J671" s="54">
        <v>671</v>
      </c>
      <c r="K671" s="54">
        <v>670</v>
      </c>
      <c r="L671" s="54" t="e">
        <v>#N/A</v>
      </c>
      <c r="M671" s="54" t="s">
        <v>156</v>
      </c>
      <c r="N671" s="54" t="s">
        <v>156</v>
      </c>
      <c r="O671" s="54" t="s">
        <v>156</v>
      </c>
    </row>
    <row r="672" spans="1:15" x14ac:dyDescent="0.35">
      <c r="A672" s="59" t="s">
        <v>184</v>
      </c>
      <c r="B672" s="60">
        <v>45375</v>
      </c>
      <c r="C672" s="54">
        <v>100.1385398540915</v>
      </c>
      <c r="D672" s="54">
        <v>100.1385398540915</v>
      </c>
      <c r="E672"/>
      <c r="F672"/>
      <c r="G672" t="e">
        <v>#N/A</v>
      </c>
      <c r="H672" s="54">
        <v>557</v>
      </c>
      <c r="I672" s="54">
        <v>116</v>
      </c>
      <c r="J672" s="54">
        <v>672</v>
      </c>
      <c r="K672" s="54">
        <v>671</v>
      </c>
      <c r="L672" s="54" t="e">
        <v>#N/A</v>
      </c>
      <c r="M672" s="54" t="s">
        <v>156</v>
      </c>
      <c r="N672" s="54" t="s">
        <v>156</v>
      </c>
      <c r="O672" s="54" t="s">
        <v>156</v>
      </c>
    </row>
    <row r="673" spans="1:15" x14ac:dyDescent="0.35">
      <c r="A673" s="59" t="s">
        <v>184</v>
      </c>
      <c r="B673" s="60">
        <v>45382</v>
      </c>
      <c r="C673" s="54">
        <v>105.21332598177921</v>
      </c>
      <c r="D673" s="54">
        <v>105.21332598177921</v>
      </c>
      <c r="E673"/>
      <c r="F673"/>
      <c r="G673" t="e">
        <v>#N/A</v>
      </c>
      <c r="H673" s="54">
        <v>557</v>
      </c>
      <c r="I673" s="54">
        <v>117</v>
      </c>
      <c r="J673" s="54">
        <v>673</v>
      </c>
      <c r="K673" s="54">
        <v>672</v>
      </c>
      <c r="L673" s="54" t="e">
        <v>#N/A</v>
      </c>
      <c r="M673" s="54" t="s">
        <v>156</v>
      </c>
      <c r="N673" s="54" t="s">
        <v>156</v>
      </c>
      <c r="O673" s="54" t="s">
        <v>156</v>
      </c>
    </row>
    <row r="674" spans="1:15" x14ac:dyDescent="0.35">
      <c r="A674" s="59" t="s">
        <v>184</v>
      </c>
      <c r="B674" s="60">
        <v>45389</v>
      </c>
      <c r="C674" s="54">
        <v>103.06731277844719</v>
      </c>
      <c r="D674" s="54">
        <v>103.06731277844719</v>
      </c>
      <c r="E674"/>
      <c r="F674"/>
      <c r="G674" t="e">
        <v>#N/A</v>
      </c>
      <c r="H674" s="54">
        <v>557</v>
      </c>
      <c r="I674" s="54">
        <v>118</v>
      </c>
      <c r="J674" s="54">
        <v>674</v>
      </c>
      <c r="K674" s="54">
        <v>673</v>
      </c>
      <c r="L674" s="54" t="e">
        <v>#N/A</v>
      </c>
      <c r="M674" s="54" t="s">
        <v>156</v>
      </c>
      <c r="N674" s="54" t="s">
        <v>156</v>
      </c>
      <c r="O674" s="54" t="s">
        <v>156</v>
      </c>
    </row>
    <row r="675" spans="1:15" x14ac:dyDescent="0.35">
      <c r="A675" s="59" t="s">
        <v>184</v>
      </c>
      <c r="B675" s="60">
        <v>45396</v>
      </c>
      <c r="C675" s="54">
        <v>100.06010380312892</v>
      </c>
      <c r="D675" s="54">
        <v>100.06010380312892</v>
      </c>
      <c r="E675"/>
      <c r="F675"/>
      <c r="G675" t="e">
        <v>#N/A</v>
      </c>
      <c r="H675" s="54">
        <v>557</v>
      </c>
      <c r="I675" s="54">
        <v>119</v>
      </c>
      <c r="J675" s="54">
        <v>675</v>
      </c>
      <c r="K675" s="54">
        <v>674</v>
      </c>
      <c r="L675" s="54" t="e">
        <v>#N/A</v>
      </c>
      <c r="M675" s="54" t="s">
        <v>156</v>
      </c>
      <c r="N675" s="54" t="s">
        <v>156</v>
      </c>
      <c r="O675" s="54" t="s">
        <v>156</v>
      </c>
    </row>
    <row r="676" spans="1:15" x14ac:dyDescent="0.35">
      <c r="A676" s="59" t="s">
        <v>184</v>
      </c>
      <c r="B676" s="60">
        <v>45403</v>
      </c>
      <c r="C676" s="54">
        <v>135.71626549949389</v>
      </c>
      <c r="D676" s="54">
        <v>135.71626549949389</v>
      </c>
      <c r="E676"/>
      <c r="F676"/>
      <c r="G676" t="e">
        <v>#N/A</v>
      </c>
      <c r="H676" s="54">
        <v>557</v>
      </c>
      <c r="I676" s="54">
        <v>120</v>
      </c>
      <c r="J676" s="54">
        <v>676</v>
      </c>
      <c r="K676" s="54">
        <v>675</v>
      </c>
      <c r="L676" s="54" t="e">
        <v>#N/A</v>
      </c>
      <c r="M676" s="54" t="s">
        <v>156</v>
      </c>
      <c r="N676" s="54" t="s">
        <v>156</v>
      </c>
      <c r="O676" s="54" t="s">
        <v>156</v>
      </c>
    </row>
    <row r="677" spans="1:15" x14ac:dyDescent="0.35">
      <c r="A677" s="59" t="s">
        <v>184</v>
      </c>
      <c r="B677" s="60">
        <v>45410</v>
      </c>
      <c r="C677" s="54">
        <v>117.35550995064538</v>
      </c>
      <c r="D677" s="54">
        <v>117.35550995064538</v>
      </c>
      <c r="E677"/>
      <c r="F677"/>
      <c r="G677" t="e">
        <v>#N/A</v>
      </c>
      <c r="H677" s="54">
        <v>557</v>
      </c>
      <c r="I677" s="54">
        <v>121</v>
      </c>
      <c r="J677" s="54">
        <v>677</v>
      </c>
      <c r="K677" s="54">
        <v>676</v>
      </c>
      <c r="L677" s="54" t="e">
        <v>#N/A</v>
      </c>
      <c r="M677" s="54" t="s">
        <v>156</v>
      </c>
      <c r="N677" s="54" t="s">
        <v>156</v>
      </c>
      <c r="O677" s="54" t="s">
        <v>156</v>
      </c>
    </row>
    <row r="678" spans="1:15" x14ac:dyDescent="0.35">
      <c r="A678" s="59" t="s">
        <v>184</v>
      </c>
      <c r="B678" s="60">
        <v>45417</v>
      </c>
      <c r="C678" s="54">
        <v>134.32240022497177</v>
      </c>
      <c r="D678" s="54">
        <v>134.32240022497177</v>
      </c>
      <c r="E678"/>
      <c r="F678"/>
      <c r="G678" t="e">
        <v>#N/A</v>
      </c>
      <c r="H678" s="54">
        <v>557</v>
      </c>
      <c r="I678" s="54">
        <v>122</v>
      </c>
      <c r="J678" s="54">
        <v>678</v>
      </c>
      <c r="K678" s="54">
        <v>677</v>
      </c>
      <c r="L678" s="54" t="e">
        <v>#N/A</v>
      </c>
      <c r="M678" s="54" t="s">
        <v>156</v>
      </c>
      <c r="N678" s="54" t="s">
        <v>156</v>
      </c>
      <c r="O678" s="54" t="s">
        <v>156</v>
      </c>
    </row>
    <row r="679" spans="1:15" x14ac:dyDescent="0.35">
      <c r="A679" s="59" t="s">
        <v>184</v>
      </c>
      <c r="B679" s="60">
        <v>45424</v>
      </c>
      <c r="C679" s="54">
        <v>127.5143392422065</v>
      </c>
      <c r="D679" s="54">
        <v>127.5143392422065</v>
      </c>
      <c r="E679"/>
      <c r="F679"/>
      <c r="G679" t="e">
        <v>#N/A</v>
      </c>
      <c r="H679" s="54">
        <v>557</v>
      </c>
      <c r="I679" s="54">
        <v>123</v>
      </c>
      <c r="J679" s="54">
        <v>679</v>
      </c>
      <c r="K679" s="54">
        <v>678</v>
      </c>
      <c r="L679" s="54" t="e">
        <v>#N/A</v>
      </c>
      <c r="M679" s="54" t="s">
        <v>156</v>
      </c>
      <c r="N679" s="54" t="s">
        <v>156</v>
      </c>
      <c r="O679" s="54" t="s">
        <v>156</v>
      </c>
    </row>
    <row r="680" spans="1:15" x14ac:dyDescent="0.35">
      <c r="A680" s="59" t="s">
        <v>184</v>
      </c>
      <c r="B680" s="60">
        <v>45431</v>
      </c>
      <c r="C680" s="54">
        <v>125.59348385737232</v>
      </c>
      <c r="D680" s="54">
        <v>125.59348385737232</v>
      </c>
      <c r="E680"/>
      <c r="F680"/>
      <c r="G680" t="e">
        <v>#N/A</v>
      </c>
      <c r="H680" s="54">
        <v>557</v>
      </c>
      <c r="I680" s="54">
        <v>124</v>
      </c>
      <c r="J680" s="54">
        <v>680</v>
      </c>
      <c r="K680" s="54">
        <v>679</v>
      </c>
      <c r="L680" s="54" t="e">
        <v>#N/A</v>
      </c>
      <c r="M680" s="54" t="s">
        <v>156</v>
      </c>
      <c r="N680" s="54" t="s">
        <v>156</v>
      </c>
      <c r="O680" s="54" t="s">
        <v>156</v>
      </c>
    </row>
    <row r="681" spans="1:15" x14ac:dyDescent="0.35">
      <c r="A681" s="59" t="s">
        <v>184</v>
      </c>
      <c r="B681" s="60">
        <v>45438</v>
      </c>
      <c r="C681" s="54">
        <v>124.47843301099826</v>
      </c>
      <c r="D681" s="54">
        <v>124.47843301099826</v>
      </c>
      <c r="E681"/>
      <c r="F681"/>
      <c r="G681" t="e">
        <v>#N/A</v>
      </c>
      <c r="H681" s="54">
        <v>557</v>
      </c>
      <c r="I681" s="54">
        <v>125</v>
      </c>
      <c r="J681" s="54">
        <v>681</v>
      </c>
      <c r="K681" s="54">
        <v>680</v>
      </c>
      <c r="L681" s="54" t="e">
        <v>#N/A</v>
      </c>
      <c r="M681" s="54" t="s">
        <v>156</v>
      </c>
      <c r="N681" s="54" t="s">
        <v>156</v>
      </c>
      <c r="O681" s="54" t="s">
        <v>156</v>
      </c>
    </row>
    <row r="682" spans="1:15" x14ac:dyDescent="0.35">
      <c r="A682" s="59" t="s">
        <v>184</v>
      </c>
      <c r="B682" s="60">
        <v>45445</v>
      </c>
      <c r="C682" s="54">
        <v>123.29195234399064</v>
      </c>
      <c r="D682" s="54">
        <v>123.29195234399064</v>
      </c>
      <c r="E682"/>
      <c r="F682"/>
      <c r="G682" t="e">
        <v>#N/A</v>
      </c>
      <c r="H682" s="54">
        <v>557</v>
      </c>
      <c r="I682" s="54">
        <v>126</v>
      </c>
      <c r="J682" s="54">
        <v>682</v>
      </c>
      <c r="K682" s="54">
        <v>681</v>
      </c>
      <c r="L682" s="54" t="e">
        <v>#N/A</v>
      </c>
      <c r="M682" s="54" t="s">
        <v>156</v>
      </c>
      <c r="N682" s="54" t="s">
        <v>156</v>
      </c>
      <c r="O682" s="54" t="s">
        <v>156</v>
      </c>
    </row>
    <row r="683" spans="1:15" x14ac:dyDescent="0.35">
      <c r="A683" s="59" t="s">
        <v>184</v>
      </c>
      <c r="B683" s="60">
        <v>45452</v>
      </c>
      <c r="C683" s="54">
        <v>120.81594567049818</v>
      </c>
      <c r="D683" s="54">
        <v>120.81594567049818</v>
      </c>
      <c r="E683"/>
      <c r="F683"/>
      <c r="G683" t="e">
        <v>#N/A</v>
      </c>
      <c r="H683" s="54">
        <v>557</v>
      </c>
      <c r="I683" s="54">
        <v>127</v>
      </c>
      <c r="J683" s="54">
        <v>683</v>
      </c>
      <c r="K683" s="54">
        <v>682</v>
      </c>
      <c r="L683" s="54" t="e">
        <v>#N/A</v>
      </c>
      <c r="M683" s="54" t="s">
        <v>156</v>
      </c>
      <c r="N683" s="54" t="s">
        <v>156</v>
      </c>
      <c r="O683" s="54" t="s">
        <v>156</v>
      </c>
    </row>
    <row r="684" spans="1:15" x14ac:dyDescent="0.35">
      <c r="A684" s="59" t="s">
        <v>184</v>
      </c>
      <c r="B684" s="60">
        <v>45459</v>
      </c>
      <c r="C684" s="54">
        <v>122.90531585540137</v>
      </c>
      <c r="D684" s="54">
        <v>122.90531585540137</v>
      </c>
      <c r="E684"/>
      <c r="F684"/>
      <c r="G684" t="e">
        <v>#N/A</v>
      </c>
      <c r="H684" s="54">
        <v>557</v>
      </c>
      <c r="I684" s="54">
        <v>128</v>
      </c>
      <c r="J684" s="54">
        <v>684</v>
      </c>
      <c r="K684" s="54">
        <v>683</v>
      </c>
      <c r="L684" s="54" t="e">
        <v>#N/A</v>
      </c>
      <c r="M684" s="54" t="s">
        <v>156</v>
      </c>
      <c r="N684" s="54" t="s">
        <v>156</v>
      </c>
      <c r="O684" s="54" t="s">
        <v>156</v>
      </c>
    </row>
    <row r="685" spans="1:15" x14ac:dyDescent="0.35">
      <c r="A685" s="59" t="s">
        <v>184</v>
      </c>
      <c r="B685" s="60">
        <v>45466</v>
      </c>
      <c r="C685" s="54">
        <v>114.9339034282124</v>
      </c>
      <c r="D685" s="54">
        <v>114.9339034282124</v>
      </c>
      <c r="E685"/>
      <c r="F685"/>
      <c r="G685" t="e">
        <v>#N/A</v>
      </c>
      <c r="H685" s="54">
        <v>557</v>
      </c>
      <c r="I685" s="54">
        <v>129</v>
      </c>
      <c r="J685" s="54">
        <v>685</v>
      </c>
      <c r="K685" s="54">
        <v>684</v>
      </c>
      <c r="L685" s="54" t="e">
        <v>#N/A</v>
      </c>
      <c r="M685" s="54" t="s">
        <v>156</v>
      </c>
      <c r="N685" s="54" t="s">
        <v>156</v>
      </c>
      <c r="O685" s="54" t="s">
        <v>156</v>
      </c>
    </row>
    <row r="686" spans="1:15" x14ac:dyDescent="0.35">
      <c r="A686" s="59" t="s">
        <v>184</v>
      </c>
      <c r="B686" s="60">
        <v>45473</v>
      </c>
      <c r="C686" s="54">
        <v>103.53552374154809</v>
      </c>
      <c r="D686" s="54">
        <v>103.53552374154809</v>
      </c>
      <c r="E686"/>
      <c r="F686"/>
      <c r="G686" t="e">
        <v>#N/A</v>
      </c>
      <c r="H686" s="54">
        <v>557</v>
      </c>
      <c r="I686" s="54">
        <v>130</v>
      </c>
      <c r="J686" s="54">
        <v>686</v>
      </c>
      <c r="K686" s="54">
        <v>685</v>
      </c>
      <c r="L686" s="54" t="e">
        <v>#N/A</v>
      </c>
      <c r="M686" s="54" t="s">
        <v>156</v>
      </c>
      <c r="N686" s="54" t="s">
        <v>156</v>
      </c>
      <c r="O686" s="54" t="s">
        <v>156</v>
      </c>
    </row>
    <row r="687" spans="1:15" x14ac:dyDescent="0.35">
      <c r="A687" s="59" t="s">
        <v>184</v>
      </c>
      <c r="B687" s="60">
        <v>45480</v>
      </c>
      <c r="C687" s="54">
        <v>100.84741518260516</v>
      </c>
      <c r="D687" s="54">
        <v>100.84741518260516</v>
      </c>
      <c r="E687"/>
      <c r="F687"/>
      <c r="G687" t="e">
        <v>#N/A</v>
      </c>
      <c r="H687" s="54">
        <v>557</v>
      </c>
      <c r="I687" s="54">
        <v>131</v>
      </c>
      <c r="J687" s="54">
        <v>687</v>
      </c>
      <c r="K687" s="54">
        <v>686</v>
      </c>
      <c r="L687" s="54" t="e">
        <v>#N/A</v>
      </c>
      <c r="M687" s="54" t="s">
        <v>156</v>
      </c>
      <c r="N687" s="54" t="s">
        <v>156</v>
      </c>
      <c r="O687" s="54" t="s">
        <v>156</v>
      </c>
    </row>
    <row r="688" spans="1:15" x14ac:dyDescent="0.35">
      <c r="A688" s="59" t="s">
        <v>184</v>
      </c>
      <c r="B688" s="60">
        <v>45487</v>
      </c>
      <c r="C688" s="54">
        <v>100.32298685400696</v>
      </c>
      <c r="D688" s="54">
        <v>100.32298685400696</v>
      </c>
      <c r="E688"/>
      <c r="F688"/>
      <c r="G688" t="e">
        <v>#N/A</v>
      </c>
      <c r="H688" s="54">
        <v>557</v>
      </c>
      <c r="I688" s="54">
        <v>132</v>
      </c>
      <c r="J688" s="54">
        <v>688</v>
      </c>
      <c r="K688" s="54">
        <v>687</v>
      </c>
      <c r="L688" s="54" t="e">
        <v>#N/A</v>
      </c>
      <c r="M688" s="54" t="s">
        <v>156</v>
      </c>
      <c r="N688" s="54" t="s">
        <v>156</v>
      </c>
      <c r="O688" s="54" t="s">
        <v>156</v>
      </c>
    </row>
    <row r="689" spans="1:15" x14ac:dyDescent="0.35">
      <c r="A689" s="59" t="s">
        <v>184</v>
      </c>
      <c r="B689" s="60">
        <v>45494</v>
      </c>
      <c r="C689" s="54">
        <v>100.22206429619688</v>
      </c>
      <c r="D689" s="54">
        <v>100.22206429619688</v>
      </c>
      <c r="E689"/>
      <c r="F689"/>
      <c r="G689" t="e">
        <v>#N/A</v>
      </c>
      <c r="H689" s="54">
        <v>557</v>
      </c>
      <c r="I689" s="54">
        <v>133</v>
      </c>
      <c r="J689" s="54">
        <v>689</v>
      </c>
      <c r="K689" s="54">
        <v>688</v>
      </c>
      <c r="L689" s="54" t="e">
        <v>#N/A</v>
      </c>
      <c r="M689" s="54" t="s">
        <v>156</v>
      </c>
      <c r="N689" s="54" t="s">
        <v>156</v>
      </c>
      <c r="O689" s="54" t="s">
        <v>156</v>
      </c>
    </row>
    <row r="690" spans="1:15" x14ac:dyDescent="0.35">
      <c r="A690" s="59" t="s">
        <v>184</v>
      </c>
      <c r="B690" s="60">
        <v>45501</v>
      </c>
      <c r="C690" s="54">
        <v>101.07598657422145</v>
      </c>
      <c r="D690" s="54">
        <v>101.07598657422145</v>
      </c>
      <c r="E690"/>
      <c r="F690"/>
      <c r="G690" t="e">
        <v>#N/A</v>
      </c>
      <c r="H690" s="54">
        <v>557</v>
      </c>
      <c r="I690" s="54">
        <v>134</v>
      </c>
      <c r="J690" s="54">
        <v>690</v>
      </c>
      <c r="K690" s="54">
        <v>689</v>
      </c>
      <c r="L690" s="54" t="e">
        <v>#N/A</v>
      </c>
      <c r="M690" s="54" t="s">
        <v>156</v>
      </c>
      <c r="N690" s="54" t="s">
        <v>156</v>
      </c>
      <c r="O690" s="54" t="s">
        <v>156</v>
      </c>
    </row>
    <row r="691" spans="1:15" x14ac:dyDescent="0.35">
      <c r="A691" s="59" t="s">
        <v>184</v>
      </c>
      <c r="B691" s="60">
        <v>45508</v>
      </c>
      <c r="C691" s="54">
        <v>101.80879066192689</v>
      </c>
      <c r="D691" s="54">
        <v>101.80879066192689</v>
      </c>
      <c r="E691"/>
      <c r="F691"/>
      <c r="G691" t="e">
        <v>#N/A</v>
      </c>
      <c r="H691" s="54">
        <v>557</v>
      </c>
      <c r="I691" s="54">
        <v>135</v>
      </c>
      <c r="J691" s="54">
        <v>691</v>
      </c>
      <c r="K691" s="54">
        <v>690</v>
      </c>
      <c r="L691" s="54" t="e">
        <v>#N/A</v>
      </c>
      <c r="M691" s="54" t="s">
        <v>156</v>
      </c>
      <c r="N691" s="54" t="s">
        <v>156</v>
      </c>
      <c r="O691" s="54" t="s">
        <v>156</v>
      </c>
    </row>
    <row r="692" spans="1:15" x14ac:dyDescent="0.35">
      <c r="A692" s="59" t="s">
        <v>184</v>
      </c>
      <c r="B692" s="60">
        <v>45515</v>
      </c>
      <c r="C692" s="54">
        <v>103.62303383371957</v>
      </c>
      <c r="D692" s="54">
        <v>103.62303383371957</v>
      </c>
      <c r="E692"/>
      <c r="F692"/>
      <c r="G692" t="e">
        <v>#N/A</v>
      </c>
      <c r="H692" s="54">
        <v>557</v>
      </c>
      <c r="I692" s="54">
        <v>136</v>
      </c>
      <c r="J692" s="54">
        <v>692</v>
      </c>
      <c r="K692" s="54">
        <v>691</v>
      </c>
      <c r="L692" s="54" t="e">
        <v>#N/A</v>
      </c>
      <c r="M692" s="54" t="s">
        <v>156</v>
      </c>
      <c r="N692" s="54" t="s">
        <v>156</v>
      </c>
      <c r="O692" s="54" t="s">
        <v>156</v>
      </c>
    </row>
    <row r="693" spans="1:15" x14ac:dyDescent="0.35">
      <c r="A693" s="59" t="s">
        <v>184</v>
      </c>
      <c r="B693" s="60">
        <v>45522</v>
      </c>
      <c r="C693" s="54">
        <v>102.00392963790121</v>
      </c>
      <c r="D693" s="54">
        <v>102.00392963790121</v>
      </c>
      <c r="E693"/>
      <c r="F693"/>
      <c r="G693" t="e">
        <v>#N/A</v>
      </c>
      <c r="H693" s="54">
        <v>557</v>
      </c>
      <c r="I693" s="54">
        <v>137</v>
      </c>
      <c r="J693" s="54">
        <v>693</v>
      </c>
      <c r="K693" s="54">
        <v>692</v>
      </c>
      <c r="L693" s="54" t="e">
        <v>#N/A</v>
      </c>
      <c r="M693" s="54" t="s">
        <v>156</v>
      </c>
      <c r="N693" s="54" t="s">
        <v>156</v>
      </c>
      <c r="O693" s="54" t="s">
        <v>156</v>
      </c>
    </row>
    <row r="694" spans="1:15" x14ac:dyDescent="0.35">
      <c r="A694" s="59" t="s">
        <v>184</v>
      </c>
      <c r="B694" s="60">
        <v>45529</v>
      </c>
      <c r="C694" s="54">
        <v>101.20542274119238</v>
      </c>
      <c r="D694" s="54">
        <v>101.20542274119238</v>
      </c>
      <c r="E694"/>
      <c r="F694"/>
      <c r="G694" t="e">
        <v>#N/A</v>
      </c>
      <c r="H694" s="54">
        <v>557</v>
      </c>
      <c r="I694" s="54">
        <v>138</v>
      </c>
      <c r="J694" s="54">
        <v>694</v>
      </c>
      <c r="K694" s="54">
        <v>693</v>
      </c>
      <c r="L694" s="54" t="e">
        <v>#N/A</v>
      </c>
      <c r="M694" s="54" t="s">
        <v>156</v>
      </c>
      <c r="N694" s="54" t="s">
        <v>156</v>
      </c>
      <c r="O694" s="54" t="s">
        <v>156</v>
      </c>
    </row>
    <row r="695" spans="1:15" x14ac:dyDescent="0.35">
      <c r="A695" s="59" t="s">
        <v>184</v>
      </c>
      <c r="B695" s="60">
        <v>45536</v>
      </c>
      <c r="C695" s="54">
        <v>107.3894653628073</v>
      </c>
      <c r="D695" s="54">
        <v>107.3894653628073</v>
      </c>
      <c r="E695"/>
      <c r="F695"/>
      <c r="G695" t="e">
        <v>#N/A</v>
      </c>
      <c r="H695" s="54">
        <v>557</v>
      </c>
      <c r="I695" s="54">
        <v>139</v>
      </c>
      <c r="J695" s="54">
        <v>695</v>
      </c>
      <c r="K695" s="54">
        <v>694</v>
      </c>
      <c r="L695" s="54" t="e">
        <v>#N/A</v>
      </c>
      <c r="M695" s="54" t="s">
        <v>156</v>
      </c>
      <c r="N695" s="54" t="s">
        <v>156</v>
      </c>
      <c r="O695" s="54" t="s">
        <v>156</v>
      </c>
    </row>
    <row r="696" spans="1:15" x14ac:dyDescent="0.35">
      <c r="A696" s="59" t="s">
        <v>184</v>
      </c>
      <c r="B696" s="60">
        <v>45543</v>
      </c>
      <c r="C696" s="54">
        <v>114.77382199175977</v>
      </c>
      <c r="D696" s="54">
        <v>114.77382199175977</v>
      </c>
      <c r="E696"/>
      <c r="F696"/>
      <c r="G696" t="e">
        <v>#N/A</v>
      </c>
      <c r="H696" s="54">
        <v>557</v>
      </c>
      <c r="I696" s="54">
        <v>140</v>
      </c>
      <c r="J696" s="54">
        <v>696</v>
      </c>
      <c r="K696" s="54">
        <v>695</v>
      </c>
      <c r="L696" s="54" t="e">
        <v>#N/A</v>
      </c>
      <c r="M696" s="54" t="s">
        <v>156</v>
      </c>
      <c r="N696" s="54" t="s">
        <v>156</v>
      </c>
      <c r="O696" s="54" t="s">
        <v>156</v>
      </c>
    </row>
    <row r="697" spans="1:15" x14ac:dyDescent="0.35">
      <c r="A697" s="59" t="s">
        <v>184</v>
      </c>
      <c r="B697" s="60">
        <v>45550</v>
      </c>
      <c r="C697" s="54">
        <v>111.98964077978022</v>
      </c>
      <c r="D697" s="54">
        <v>111.98964077978022</v>
      </c>
      <c r="E697"/>
      <c r="F697"/>
      <c r="G697" t="e">
        <v>#N/A</v>
      </c>
      <c r="H697" s="54">
        <v>557</v>
      </c>
      <c r="I697" s="54">
        <v>141</v>
      </c>
      <c r="J697" s="54">
        <v>697</v>
      </c>
      <c r="K697" s="54">
        <v>696</v>
      </c>
      <c r="L697" s="54" t="e">
        <v>#N/A</v>
      </c>
      <c r="M697" s="54" t="s">
        <v>156</v>
      </c>
      <c r="N697" s="54" t="s">
        <v>156</v>
      </c>
      <c r="O697" s="54" t="s">
        <v>156</v>
      </c>
    </row>
    <row r="698" spans="1:15" x14ac:dyDescent="0.35">
      <c r="A698" s="59" t="s">
        <v>184</v>
      </c>
      <c r="B698" s="60">
        <v>45557</v>
      </c>
      <c r="C698" s="54">
        <v>117.81224182027853</v>
      </c>
      <c r="D698" s="54">
        <v>117.81224182027853</v>
      </c>
      <c r="E698"/>
      <c r="F698"/>
      <c r="G698" t="e">
        <v>#N/A</v>
      </c>
      <c r="H698" s="54">
        <v>557</v>
      </c>
      <c r="I698" s="54">
        <v>142</v>
      </c>
      <c r="J698" s="54">
        <v>698</v>
      </c>
      <c r="K698" s="54">
        <v>697</v>
      </c>
      <c r="L698" s="54" t="e">
        <v>#N/A</v>
      </c>
      <c r="M698" s="54" t="s">
        <v>156</v>
      </c>
      <c r="N698" s="54" t="s">
        <v>156</v>
      </c>
      <c r="O698" s="54" t="s">
        <v>156</v>
      </c>
    </row>
    <row r="699" spans="1:15" x14ac:dyDescent="0.35">
      <c r="A699" s="59" t="s">
        <v>184</v>
      </c>
      <c r="B699" s="60">
        <v>45564</v>
      </c>
      <c r="C699" s="54">
        <v>109.96736129177128</v>
      </c>
      <c r="D699" s="54">
        <v>109.96736129177128</v>
      </c>
      <c r="E699"/>
      <c r="F699"/>
      <c r="G699" t="e">
        <v>#N/A</v>
      </c>
      <c r="H699" s="54">
        <v>557</v>
      </c>
      <c r="I699" s="54">
        <v>143</v>
      </c>
      <c r="J699" s="54">
        <v>699</v>
      </c>
      <c r="K699" s="54">
        <v>698</v>
      </c>
      <c r="L699" s="54" t="e">
        <v>#N/A</v>
      </c>
      <c r="M699" s="54" t="s">
        <v>156</v>
      </c>
      <c r="N699" s="54" t="s">
        <v>156</v>
      </c>
      <c r="O699" s="54" t="s">
        <v>156</v>
      </c>
    </row>
    <row r="700" spans="1:15" x14ac:dyDescent="0.35">
      <c r="A700" s="59" t="s">
        <v>184</v>
      </c>
      <c r="B700" s="60">
        <v>45571</v>
      </c>
      <c r="C700" s="54">
        <v>110.39105191708948</v>
      </c>
      <c r="D700" s="54">
        <v>110.39105191708948</v>
      </c>
      <c r="E700"/>
      <c r="F700"/>
      <c r="G700" t="e">
        <v>#N/A</v>
      </c>
      <c r="H700" s="54">
        <v>557</v>
      </c>
      <c r="I700" s="54">
        <v>144</v>
      </c>
      <c r="J700" s="54">
        <v>700</v>
      </c>
      <c r="K700" s="54">
        <v>699</v>
      </c>
      <c r="L700" s="54" t="e">
        <v>#N/A</v>
      </c>
      <c r="M700" s="54" t="s">
        <v>156</v>
      </c>
      <c r="N700" s="54" t="s">
        <v>156</v>
      </c>
      <c r="O700" s="54" t="s">
        <v>156</v>
      </c>
    </row>
    <row r="701" spans="1:15" x14ac:dyDescent="0.35">
      <c r="A701" s="59" t="s">
        <v>184</v>
      </c>
      <c r="B701" s="60">
        <v>45578</v>
      </c>
      <c r="C701" s="54">
        <v>103.10215108060716</v>
      </c>
      <c r="D701" s="54">
        <v>103.10215108060716</v>
      </c>
      <c r="E701"/>
      <c r="F701"/>
      <c r="G701" t="e">
        <v>#N/A</v>
      </c>
      <c r="H701" s="54">
        <v>557</v>
      </c>
      <c r="I701" s="54">
        <v>145</v>
      </c>
      <c r="J701" s="54">
        <v>701</v>
      </c>
      <c r="K701" s="54">
        <v>700</v>
      </c>
      <c r="L701" s="54" t="e">
        <v>#N/A</v>
      </c>
      <c r="M701" s="54" t="s">
        <v>156</v>
      </c>
      <c r="N701" s="54" t="s">
        <v>156</v>
      </c>
      <c r="O701" s="54" t="s">
        <v>156</v>
      </c>
    </row>
    <row r="702" spans="1:15" x14ac:dyDescent="0.35">
      <c r="A702" s="59" t="s">
        <v>184</v>
      </c>
      <c r="B702" s="60">
        <v>45585</v>
      </c>
      <c r="C702" s="54">
        <v>111.81350971861177</v>
      </c>
      <c r="D702" s="54">
        <v>111.81350971861177</v>
      </c>
      <c r="E702"/>
      <c r="F702"/>
      <c r="G702" t="e">
        <v>#N/A</v>
      </c>
      <c r="H702" s="54">
        <v>557</v>
      </c>
      <c r="I702" s="54">
        <v>146</v>
      </c>
      <c r="J702" s="54">
        <v>702</v>
      </c>
      <c r="K702" s="54">
        <v>701</v>
      </c>
      <c r="L702" s="54" t="e">
        <v>#N/A</v>
      </c>
      <c r="M702" s="54" t="s">
        <v>156</v>
      </c>
      <c r="N702" s="54" t="s">
        <v>156</v>
      </c>
      <c r="O702" s="54" t="s">
        <v>156</v>
      </c>
    </row>
    <row r="703" spans="1:15" x14ac:dyDescent="0.35">
      <c r="A703" s="59" t="s">
        <v>184</v>
      </c>
      <c r="B703" s="60">
        <v>45592</v>
      </c>
      <c r="C703" s="54">
        <v>111.2810074650649</v>
      </c>
      <c r="D703" s="54">
        <v>111.2810074650649</v>
      </c>
      <c r="E703"/>
      <c r="F703"/>
      <c r="G703" t="e">
        <v>#N/A</v>
      </c>
      <c r="H703" s="54">
        <v>557</v>
      </c>
      <c r="I703" s="54">
        <v>147</v>
      </c>
      <c r="J703" s="54">
        <v>703</v>
      </c>
      <c r="K703" s="54">
        <v>702</v>
      </c>
      <c r="L703" s="54" t="e">
        <v>#N/A</v>
      </c>
      <c r="M703" s="54" t="s">
        <v>156</v>
      </c>
      <c r="N703" s="54" t="s">
        <v>156</v>
      </c>
      <c r="O703" s="54" t="s">
        <v>156</v>
      </c>
    </row>
    <row r="704" spans="1:15" x14ac:dyDescent="0.35">
      <c r="A704" s="59" t="s">
        <v>184</v>
      </c>
      <c r="B704" s="60">
        <v>45599</v>
      </c>
      <c r="C704" s="54">
        <v>112.4764444937688</v>
      </c>
      <c r="D704" s="54">
        <v>112.4764444937688</v>
      </c>
      <c r="E704"/>
      <c r="F704"/>
      <c r="G704" t="e">
        <v>#N/A</v>
      </c>
      <c r="H704" s="54">
        <v>557</v>
      </c>
      <c r="I704" s="54">
        <v>148</v>
      </c>
      <c r="J704" s="54">
        <v>704</v>
      </c>
      <c r="K704" s="54">
        <v>703</v>
      </c>
      <c r="L704" s="54" t="e">
        <v>#N/A</v>
      </c>
      <c r="M704" s="54" t="s">
        <v>156</v>
      </c>
      <c r="N704" s="54" t="s">
        <v>156</v>
      </c>
      <c r="O704" s="54" t="s">
        <v>156</v>
      </c>
    </row>
    <row r="705" spans="1:15" x14ac:dyDescent="0.35">
      <c r="A705" s="59" t="s">
        <v>184</v>
      </c>
      <c r="B705" s="60">
        <v>45606</v>
      </c>
      <c r="C705" s="54">
        <v>104.09379022157997</v>
      </c>
      <c r="D705" s="54">
        <v>104.09379022157997</v>
      </c>
      <c r="E705"/>
      <c r="F705"/>
      <c r="G705" t="e">
        <v>#N/A</v>
      </c>
      <c r="H705" s="54">
        <v>557</v>
      </c>
      <c r="I705" s="54">
        <v>149</v>
      </c>
      <c r="J705" s="54">
        <v>705</v>
      </c>
      <c r="K705" s="54">
        <v>704</v>
      </c>
      <c r="L705" s="54" t="e">
        <v>#N/A</v>
      </c>
      <c r="M705" s="54" t="s">
        <v>156</v>
      </c>
      <c r="N705" s="54" t="s">
        <v>156</v>
      </c>
      <c r="O705" s="54" t="s">
        <v>156</v>
      </c>
    </row>
    <row r="706" spans="1:15" x14ac:dyDescent="0.35">
      <c r="A706" s="59" t="s">
        <v>184</v>
      </c>
      <c r="B706" s="60">
        <v>45613</v>
      </c>
      <c r="C706" s="54">
        <v>118.3013889918617</v>
      </c>
      <c r="D706" s="54">
        <v>118.3013889918617</v>
      </c>
      <c r="E706"/>
      <c r="F706"/>
      <c r="G706" t="e">
        <v>#N/A</v>
      </c>
      <c r="H706" s="54">
        <v>557</v>
      </c>
      <c r="I706" s="54">
        <v>150</v>
      </c>
      <c r="J706" s="54">
        <v>706</v>
      </c>
      <c r="K706" s="54">
        <v>705</v>
      </c>
      <c r="L706" s="54" t="e">
        <v>#N/A</v>
      </c>
      <c r="M706" s="54" t="s">
        <v>156</v>
      </c>
      <c r="N706" s="54" t="s">
        <v>156</v>
      </c>
      <c r="O706" s="54" t="s">
        <v>156</v>
      </c>
    </row>
    <row r="707" spans="1:15" x14ac:dyDescent="0.35">
      <c r="A707" s="59" t="s">
        <v>184</v>
      </c>
      <c r="B707" s="60">
        <v>45620</v>
      </c>
      <c r="C707" s="54">
        <v>103.10753625726018</v>
      </c>
      <c r="D707" s="54">
        <v>103.10753625726018</v>
      </c>
      <c r="E707"/>
      <c r="F707"/>
      <c r="G707" t="e">
        <v>#N/A</v>
      </c>
      <c r="H707" s="54">
        <v>557</v>
      </c>
      <c r="I707" s="54">
        <v>151</v>
      </c>
      <c r="J707" s="54">
        <v>707</v>
      </c>
      <c r="K707" s="54">
        <v>706</v>
      </c>
      <c r="L707" s="54" t="e">
        <v>#N/A</v>
      </c>
      <c r="M707" s="54" t="s">
        <v>156</v>
      </c>
      <c r="N707" s="54" t="s">
        <v>156</v>
      </c>
      <c r="O707" s="54" t="s">
        <v>156</v>
      </c>
    </row>
    <row r="708" spans="1:15" x14ac:dyDescent="0.35">
      <c r="A708" s="59" t="s">
        <v>184</v>
      </c>
      <c r="B708" s="60">
        <v>45627</v>
      </c>
      <c r="C708" s="54">
        <v>102.09833317821447</v>
      </c>
      <c r="D708" s="54">
        <v>102.09833317821447</v>
      </c>
      <c r="E708"/>
      <c r="F708"/>
      <c r="G708" t="e">
        <v>#N/A</v>
      </c>
      <c r="H708" s="54">
        <v>557</v>
      </c>
      <c r="I708" s="54">
        <v>152</v>
      </c>
      <c r="J708" s="54">
        <v>708</v>
      </c>
      <c r="K708" s="54">
        <v>707</v>
      </c>
      <c r="L708" s="54" t="e">
        <v>#N/A</v>
      </c>
      <c r="M708" s="54" t="s">
        <v>156</v>
      </c>
      <c r="N708" s="54" t="s">
        <v>156</v>
      </c>
      <c r="O708" s="54" t="s">
        <v>156</v>
      </c>
    </row>
    <row r="709" spans="1:15" x14ac:dyDescent="0.35">
      <c r="A709" s="59" t="s">
        <v>184</v>
      </c>
      <c r="B709" s="60">
        <v>45634</v>
      </c>
      <c r="C709" s="54">
        <v>102.01027277514251</v>
      </c>
      <c r="D709" s="54">
        <v>102.01027277514251</v>
      </c>
      <c r="E709"/>
      <c r="F709"/>
      <c r="G709" t="e">
        <v>#N/A</v>
      </c>
      <c r="H709" s="54">
        <v>557</v>
      </c>
      <c r="I709" s="54">
        <v>153</v>
      </c>
      <c r="J709" s="54">
        <v>709</v>
      </c>
      <c r="K709" s="54">
        <v>708</v>
      </c>
      <c r="L709" s="54" t="e">
        <v>#N/A</v>
      </c>
      <c r="M709" s="54" t="s">
        <v>156</v>
      </c>
      <c r="N709" s="54" t="s">
        <v>156</v>
      </c>
      <c r="O709" s="54" t="s">
        <v>156</v>
      </c>
    </row>
    <row r="710" spans="1:15" x14ac:dyDescent="0.35">
      <c r="A710" s="59" t="s">
        <v>184</v>
      </c>
      <c r="B710" s="60">
        <v>45641</v>
      </c>
      <c r="C710" s="54">
        <v>100.86920647524559</v>
      </c>
      <c r="D710" s="54">
        <v>100.86920647524559</v>
      </c>
      <c r="E710"/>
      <c r="F710"/>
      <c r="G710" t="e">
        <v>#N/A</v>
      </c>
      <c r="H710" s="54">
        <v>557</v>
      </c>
      <c r="I710" s="54">
        <v>154</v>
      </c>
      <c r="J710" s="54">
        <v>710</v>
      </c>
      <c r="K710" s="54">
        <v>709</v>
      </c>
      <c r="L710" s="54" t="e">
        <v>#N/A</v>
      </c>
      <c r="M710" s="54" t="s">
        <v>156</v>
      </c>
      <c r="N710" s="54" t="s">
        <v>156</v>
      </c>
      <c r="O710" s="54" t="s">
        <v>156</v>
      </c>
    </row>
    <row r="711" spans="1:15" x14ac:dyDescent="0.35">
      <c r="A711" s="59" t="s">
        <v>184</v>
      </c>
      <c r="B711" s="60">
        <v>45648</v>
      </c>
      <c r="C711" s="54">
        <v>100.80804966486646</v>
      </c>
      <c r="D711" s="54">
        <v>100.80804966486646</v>
      </c>
      <c r="E711"/>
      <c r="F711"/>
      <c r="G711" t="e">
        <v>#N/A</v>
      </c>
      <c r="H711" s="54">
        <v>557</v>
      </c>
      <c r="I711" s="54">
        <v>155</v>
      </c>
      <c r="J711" s="54">
        <v>711</v>
      </c>
      <c r="K711" s="54">
        <v>710</v>
      </c>
      <c r="L711" s="54" t="e">
        <v>#N/A</v>
      </c>
      <c r="M711" s="54" t="s">
        <v>156</v>
      </c>
      <c r="N711" s="54" t="s">
        <v>156</v>
      </c>
      <c r="O711" s="54" t="s">
        <v>156</v>
      </c>
    </row>
    <row r="712" spans="1:15" x14ac:dyDescent="0.35">
      <c r="A712" s="59" t="s">
        <v>184</v>
      </c>
      <c r="B712" s="60">
        <v>45655</v>
      </c>
      <c r="C712" s="54">
        <v>100.64202178656436</v>
      </c>
      <c r="D712" s="54">
        <v>100.64202178656436</v>
      </c>
      <c r="E712"/>
      <c r="F712"/>
      <c r="G712" t="e">
        <v>#N/A</v>
      </c>
      <c r="H712" s="54">
        <v>557</v>
      </c>
      <c r="I712" s="54">
        <v>156</v>
      </c>
      <c r="J712" s="54">
        <v>712</v>
      </c>
      <c r="K712" s="54">
        <v>711</v>
      </c>
      <c r="L712" s="54" t="e">
        <v>#N/A</v>
      </c>
      <c r="M712" s="54" t="s">
        <v>156</v>
      </c>
      <c r="N712" s="54" t="s">
        <v>156</v>
      </c>
      <c r="O712" s="54" t="s">
        <v>156</v>
      </c>
    </row>
    <row r="713" spans="1:15" x14ac:dyDescent="0.35">
      <c r="A713" s="59" t="s">
        <v>184</v>
      </c>
      <c r="B713" s="60">
        <v>45662</v>
      </c>
      <c r="C713" s="54">
        <v>100.0000000003073</v>
      </c>
      <c r="D713" s="54"/>
      <c r="E713">
        <v>100.0000000003073</v>
      </c>
      <c r="F713">
        <v>102.1606699896931</v>
      </c>
      <c r="G713">
        <v>106.37938280061971</v>
      </c>
      <c r="H713" s="54">
        <v>557</v>
      </c>
      <c r="I713" s="54" t="s">
        <v>156</v>
      </c>
      <c r="J713" s="54">
        <v>712</v>
      </c>
      <c r="K713" s="54">
        <v>712</v>
      </c>
      <c r="L713" s="54">
        <v>101.31529651031526</v>
      </c>
      <c r="M713" s="54">
        <v>1.3152965100079683</v>
      </c>
      <c r="N713" s="54">
        <v>2.1606699893858092</v>
      </c>
      <c r="O713" s="54">
        <v>6.3793828003124133</v>
      </c>
    </row>
    <row r="714" spans="1:15" x14ac:dyDescent="0.35">
      <c r="A714" s="59" t="s">
        <v>184</v>
      </c>
      <c r="B714" s="60">
        <v>45669</v>
      </c>
      <c r="C714" s="54">
        <v>100.00000044143816</v>
      </c>
      <c r="D714" s="54"/>
      <c r="E714">
        <v>100.00000044143816</v>
      </c>
      <c r="F714">
        <v>102.16652420090173</v>
      </c>
      <c r="G714">
        <v>102.02133717146569</v>
      </c>
      <c r="H714" s="54">
        <v>557</v>
      </c>
      <c r="I714" s="54" t="s">
        <v>156</v>
      </c>
      <c r="J714" s="54">
        <v>712</v>
      </c>
      <c r="K714" s="54">
        <v>713</v>
      </c>
      <c r="L714" s="54">
        <v>101.33063134226735</v>
      </c>
      <c r="M714" s="54">
        <v>1.3306309008291919</v>
      </c>
      <c r="N714" s="54">
        <v>2.1665237594635727</v>
      </c>
      <c r="O714" s="54">
        <v>2.021336730027528</v>
      </c>
    </row>
    <row r="715" spans="1:15" x14ac:dyDescent="0.35">
      <c r="A715" s="59" t="s">
        <v>184</v>
      </c>
      <c r="B715" s="60">
        <v>45676</v>
      </c>
      <c r="C715" s="54">
        <v>100.00000000107066</v>
      </c>
      <c r="D715" s="54"/>
      <c r="E715">
        <v>100.00000000107066</v>
      </c>
      <c r="F715">
        <v>102.17134052502657</v>
      </c>
      <c r="G715">
        <v>101.44646552336725</v>
      </c>
      <c r="H715" s="54">
        <v>557</v>
      </c>
      <c r="I715" s="54" t="s">
        <v>156</v>
      </c>
      <c r="J715" s="54">
        <v>712</v>
      </c>
      <c r="K715" s="54">
        <v>714</v>
      </c>
      <c r="L715" s="54">
        <v>101.35016250181371</v>
      </c>
      <c r="M715" s="54">
        <v>1.3501625007430533</v>
      </c>
      <c r="N715" s="54">
        <v>2.1713405239559052</v>
      </c>
      <c r="O715" s="54">
        <v>1.4464655222965916</v>
      </c>
    </row>
    <row r="716" spans="1:15" x14ac:dyDescent="0.35">
      <c r="A716" s="59" t="s">
        <v>184</v>
      </c>
      <c r="B716" s="60">
        <v>45683</v>
      </c>
      <c r="C716" s="54">
        <v>100.00000508020175</v>
      </c>
      <c r="D716" s="54"/>
      <c r="E716">
        <v>100.00000508020175</v>
      </c>
      <c r="F716">
        <v>102.17613002710898</v>
      </c>
      <c r="G716">
        <v>101.08238767545473</v>
      </c>
      <c r="H716" s="54">
        <v>557</v>
      </c>
      <c r="I716" s="54" t="s">
        <v>156</v>
      </c>
      <c r="J716" s="54">
        <v>712</v>
      </c>
      <c r="K716" s="54">
        <v>715</v>
      </c>
      <c r="L716" s="54">
        <v>101.36598737972636</v>
      </c>
      <c r="M716" s="54">
        <v>1.3659822995246174</v>
      </c>
      <c r="N716" s="54">
        <v>2.1761249469072368</v>
      </c>
      <c r="O716" s="54">
        <v>1.0823825952529802</v>
      </c>
    </row>
    <row r="717" spans="1:15" x14ac:dyDescent="0.35">
      <c r="A717" s="59" t="s">
        <v>184</v>
      </c>
      <c r="B717" s="60">
        <v>45690</v>
      </c>
      <c r="C717" s="54">
        <v>100.00001691502163</v>
      </c>
      <c r="D717" s="54"/>
      <c r="E717">
        <v>100.00001691502163</v>
      </c>
      <c r="F717">
        <v>102.17841452742478</v>
      </c>
      <c r="G717">
        <v>100.57981948174591</v>
      </c>
      <c r="H717" s="54">
        <v>557</v>
      </c>
      <c r="I717" s="54" t="s">
        <v>156</v>
      </c>
      <c r="J717" s="54">
        <v>712</v>
      </c>
      <c r="K717" s="54">
        <v>716</v>
      </c>
      <c r="L717" s="54">
        <v>101.37991073293932</v>
      </c>
      <c r="M717" s="54">
        <v>1.3798938179176901</v>
      </c>
      <c r="N717" s="54">
        <v>2.1783976124031454</v>
      </c>
      <c r="O717" s="54">
        <v>0.57980256672428254</v>
      </c>
    </row>
    <row r="718" spans="1:15" x14ac:dyDescent="0.35">
      <c r="A718" s="59" t="s">
        <v>184</v>
      </c>
      <c r="B718" s="60">
        <v>45697</v>
      </c>
      <c r="C718" s="54">
        <v>100.00022911540003</v>
      </c>
      <c r="D718" s="54"/>
      <c r="E718">
        <v>100.00022911540003</v>
      </c>
      <c r="F718">
        <v>102.18607684110169</v>
      </c>
      <c r="G718">
        <v>100.36251797329406</v>
      </c>
      <c r="H718" s="54">
        <v>557</v>
      </c>
      <c r="I718" s="54" t="s">
        <v>156</v>
      </c>
      <c r="J718" s="54">
        <v>712</v>
      </c>
      <c r="K718" s="54">
        <v>717</v>
      </c>
      <c r="L718" s="54">
        <v>101.41302727955738</v>
      </c>
      <c r="M718" s="54">
        <v>1.4127981641573513</v>
      </c>
      <c r="N718" s="54">
        <v>2.1858477257016631</v>
      </c>
      <c r="O718" s="54">
        <v>0.36228885789402909</v>
      </c>
    </row>
    <row r="719" spans="1:15" x14ac:dyDescent="0.35">
      <c r="A719" s="59" t="s">
        <v>184</v>
      </c>
      <c r="B719" s="60">
        <v>45704</v>
      </c>
      <c r="C719" s="54">
        <v>100.00041171929439</v>
      </c>
      <c r="D719" s="54"/>
      <c r="E719">
        <v>100.00041171929439</v>
      </c>
      <c r="F719">
        <v>102.23584099241447</v>
      </c>
      <c r="G719">
        <v>100.16050555734512</v>
      </c>
      <c r="H719" s="54">
        <v>557</v>
      </c>
      <c r="I719" s="54" t="s">
        <v>156</v>
      </c>
      <c r="J719" s="54">
        <v>712</v>
      </c>
      <c r="K719" s="54">
        <v>718</v>
      </c>
      <c r="L719" s="54">
        <v>101.47191539827777</v>
      </c>
      <c r="M719" s="54">
        <v>1.4715036789833817</v>
      </c>
      <c r="N719" s="54">
        <v>2.2354292731200758</v>
      </c>
      <c r="O719" s="54">
        <v>0.1600938380507273</v>
      </c>
    </row>
    <row r="720" spans="1:15" x14ac:dyDescent="0.35">
      <c r="A720" s="59" t="s">
        <v>184</v>
      </c>
      <c r="B720" s="60">
        <v>45711</v>
      </c>
      <c r="C720" s="54">
        <v>100.00022718824503</v>
      </c>
      <c r="D720" s="54"/>
      <c r="E720">
        <v>100.00022718824503</v>
      </c>
      <c r="F720">
        <v>102.18615491791191</v>
      </c>
      <c r="G720">
        <v>100.00000138075445</v>
      </c>
      <c r="H720" s="54">
        <v>557</v>
      </c>
      <c r="I720" s="54" t="s">
        <v>156</v>
      </c>
      <c r="J720" s="54">
        <v>712</v>
      </c>
      <c r="K720" s="54">
        <v>719</v>
      </c>
      <c r="L720" s="54">
        <v>101.46902182453768</v>
      </c>
      <c r="M720" s="54">
        <v>1.4687946362926425</v>
      </c>
      <c r="N720" s="54">
        <v>2.1859277296668722</v>
      </c>
      <c r="O720" s="54">
        <v>2.2580749057965477E-4</v>
      </c>
    </row>
    <row r="721" spans="1:15" x14ac:dyDescent="0.35">
      <c r="A721" s="59" t="s">
        <v>184</v>
      </c>
      <c r="B721" s="60">
        <v>45718</v>
      </c>
      <c r="C721" s="54">
        <v>100.00175790356752</v>
      </c>
      <c r="D721" s="54"/>
      <c r="E721">
        <v>100.00175790356752</v>
      </c>
      <c r="F721">
        <v>102.22366705929876</v>
      </c>
      <c r="G721">
        <v>100.00000560943306</v>
      </c>
      <c r="H721" s="54">
        <v>557</v>
      </c>
      <c r="I721" s="54" t="s">
        <v>156</v>
      </c>
      <c r="J721" s="54">
        <v>712</v>
      </c>
      <c r="K721" s="54">
        <v>720</v>
      </c>
      <c r="L721" s="54">
        <v>101.51605716354931</v>
      </c>
      <c r="M721" s="54">
        <v>1.5142992599817831</v>
      </c>
      <c r="N721" s="54">
        <v>2.2219091557312396</v>
      </c>
      <c r="O721" s="54">
        <v>1.7522941344623177E-3</v>
      </c>
    </row>
    <row r="722" spans="1:15" x14ac:dyDescent="0.35">
      <c r="A722" s="59" t="s">
        <v>184</v>
      </c>
      <c r="B722" s="60">
        <v>45725</v>
      </c>
      <c r="C722" s="54">
        <v>100.3031687927154</v>
      </c>
      <c r="D722" s="54"/>
      <c r="E722">
        <v>100.3031687927154</v>
      </c>
      <c r="F722">
        <v>102.27642819432702</v>
      </c>
      <c r="G722">
        <v>100.00006277792352</v>
      </c>
      <c r="H722" s="54">
        <v>557</v>
      </c>
      <c r="I722" s="54" t="s">
        <v>156</v>
      </c>
      <c r="J722" s="54">
        <v>712</v>
      </c>
      <c r="K722" s="54">
        <v>721</v>
      </c>
      <c r="L722" s="54">
        <v>101.47280596789861</v>
      </c>
      <c r="M722" s="54">
        <v>1.1696371751832118</v>
      </c>
      <c r="N722" s="54">
        <v>1.973259401611628</v>
      </c>
      <c r="O722" s="54">
        <v>0.30310601479187937</v>
      </c>
    </row>
    <row r="723" spans="1:15" x14ac:dyDescent="0.35">
      <c r="A723" s="59" t="s">
        <v>184</v>
      </c>
      <c r="B723" s="60">
        <v>45732</v>
      </c>
      <c r="C723" s="54">
        <v>100.00256163345063</v>
      </c>
      <c r="D723" s="54"/>
      <c r="E723">
        <v>100.00256163345063</v>
      </c>
      <c r="F723">
        <v>102.3242675376423</v>
      </c>
      <c r="G723">
        <v>100.00016570747945</v>
      </c>
      <c r="H723" s="54">
        <v>557</v>
      </c>
      <c r="I723" s="54" t="s">
        <v>156</v>
      </c>
      <c r="J723" s="54">
        <v>712</v>
      </c>
      <c r="K723" s="54">
        <v>722</v>
      </c>
      <c r="L723" s="54">
        <v>101.53467506145155</v>
      </c>
      <c r="M723" s="54">
        <v>1.5321134280009261</v>
      </c>
      <c r="N723" s="54">
        <v>2.3217059041916741</v>
      </c>
      <c r="O723" s="54">
        <v>2.3959259711716641E-3</v>
      </c>
    </row>
    <row r="724" spans="1:15" x14ac:dyDescent="0.35">
      <c r="A724" s="59" t="s">
        <v>184</v>
      </c>
      <c r="B724" s="60">
        <v>45739</v>
      </c>
      <c r="C724" s="54">
        <v>101.63444004790529</v>
      </c>
      <c r="D724" s="54"/>
      <c r="E724">
        <v>101.63444004790529</v>
      </c>
      <c r="F724">
        <v>103.7719763810578</v>
      </c>
      <c r="G724">
        <v>100.00022123449028</v>
      </c>
      <c r="H724" s="54">
        <v>557</v>
      </c>
      <c r="I724" s="54" t="s">
        <v>156</v>
      </c>
      <c r="J724" s="54">
        <v>712</v>
      </c>
      <c r="K724" s="54">
        <v>723</v>
      </c>
      <c r="L724" s="54">
        <v>104.06827070715232</v>
      </c>
      <c r="M724" s="54">
        <v>2.433830659247036</v>
      </c>
      <c r="N724" s="54">
        <v>2.1375363331525108</v>
      </c>
      <c r="O724" s="54">
        <v>1.6342188134150035</v>
      </c>
    </row>
    <row r="725" spans="1:15" x14ac:dyDescent="0.35">
      <c r="A725" s="59" t="s">
        <v>184</v>
      </c>
      <c r="B725" s="60">
        <v>45746</v>
      </c>
      <c r="C725" s="54">
        <v>100.80884102859191</v>
      </c>
      <c r="D725" s="54"/>
      <c r="E725">
        <v>100.80884102859191</v>
      </c>
      <c r="F725">
        <v>103.94430197245691</v>
      </c>
      <c r="G725">
        <v>100.00065648162675</v>
      </c>
      <c r="H725" s="54">
        <v>557</v>
      </c>
      <c r="I725" s="54" t="s">
        <v>156</v>
      </c>
      <c r="J725" s="54">
        <v>712</v>
      </c>
      <c r="K725" s="54">
        <v>724</v>
      </c>
      <c r="L725" s="54">
        <v>103.05816197357071</v>
      </c>
      <c r="M725" s="54">
        <v>2.2493209449787912</v>
      </c>
      <c r="N725" s="54">
        <v>3.1354609438649987</v>
      </c>
      <c r="O725" s="54">
        <v>0.8081845469651654</v>
      </c>
    </row>
    <row r="726" spans="1:15" x14ac:dyDescent="0.35">
      <c r="A726" s="59" t="s">
        <v>184</v>
      </c>
      <c r="B726" s="60">
        <v>45753</v>
      </c>
      <c r="C726" s="54">
        <v>103.02063332348112</v>
      </c>
      <c r="D726" s="54"/>
      <c r="E726">
        <v>103.02063332348112</v>
      </c>
      <c r="F726">
        <v>105.10799518610477</v>
      </c>
      <c r="G726">
        <v>100.07639140095559</v>
      </c>
      <c r="H726" s="54">
        <v>557</v>
      </c>
      <c r="I726" s="54" t="s">
        <v>156</v>
      </c>
      <c r="J726" s="54">
        <v>712</v>
      </c>
      <c r="K726" s="54">
        <v>725</v>
      </c>
      <c r="L726" s="54">
        <v>103.17984834979539</v>
      </c>
      <c r="M726" s="54">
        <v>0.15921502631427131</v>
      </c>
      <c r="N726" s="54">
        <v>2.0873618626236521</v>
      </c>
      <c r="O726" s="54">
        <v>2.944241922525535</v>
      </c>
    </row>
    <row r="727" spans="1:15" x14ac:dyDescent="0.35">
      <c r="A727" s="59" t="s">
        <v>184</v>
      </c>
      <c r="B727" s="60">
        <v>45760</v>
      </c>
      <c r="C727" s="54">
        <v>115.34981661273052</v>
      </c>
      <c r="D727" s="54"/>
      <c r="E727">
        <v>115.34981661273052</v>
      </c>
      <c r="F727">
        <v>105.69588088562406</v>
      </c>
      <c r="G727">
        <v>100.07692887949464</v>
      </c>
      <c r="H727" s="54">
        <v>557</v>
      </c>
      <c r="I727" s="54" t="s">
        <v>156</v>
      </c>
      <c r="J727" s="54">
        <v>712</v>
      </c>
      <c r="K727" s="54">
        <v>726</v>
      </c>
      <c r="L727" s="54">
        <v>104.12127479714289</v>
      </c>
      <c r="M727" s="54">
        <v>11.228541815587633</v>
      </c>
      <c r="N727" s="54">
        <v>9.6539357271064574</v>
      </c>
      <c r="O727" s="54">
        <v>15.272887733235876</v>
      </c>
    </row>
    <row r="728" spans="1:15" x14ac:dyDescent="0.35">
      <c r="A728" s="59" t="s">
        <v>184</v>
      </c>
      <c r="B728" s="60">
        <v>45767</v>
      </c>
      <c r="C728" s="54">
        <v>111.019909350322</v>
      </c>
      <c r="D728" s="54"/>
      <c r="E728">
        <v>111.019909350322</v>
      </c>
      <c r="F728">
        <v>121.25430522553475</v>
      </c>
      <c r="G728">
        <v>100.4854820944097</v>
      </c>
      <c r="H728" s="54">
        <v>557</v>
      </c>
      <c r="I728" s="54" t="s">
        <v>156</v>
      </c>
      <c r="J728" s="54">
        <v>712</v>
      </c>
      <c r="K728" s="54">
        <v>727</v>
      </c>
      <c r="L728" s="54">
        <v>119.24087341856757</v>
      </c>
      <c r="M728" s="54">
        <v>8.2209640682455785</v>
      </c>
      <c r="N728" s="54">
        <v>10.234395875212755</v>
      </c>
      <c r="O728" s="54">
        <v>10.534427255912291</v>
      </c>
    </row>
    <row r="729" spans="1:15" x14ac:dyDescent="0.35">
      <c r="A729" s="59" t="s">
        <v>184</v>
      </c>
      <c r="B729" s="60">
        <v>45774</v>
      </c>
      <c r="C729" s="54">
        <v>127.79000710162326</v>
      </c>
      <c r="D729" s="54"/>
      <c r="E729">
        <v>127.79000710162326</v>
      </c>
      <c r="F729">
        <v>117.18750996978955</v>
      </c>
      <c r="G729">
        <v>100.68725287566581</v>
      </c>
      <c r="H729" s="54">
        <v>557</v>
      </c>
      <c r="I729" s="54" t="s">
        <v>156</v>
      </c>
      <c r="J729" s="54">
        <v>712</v>
      </c>
      <c r="K729" s="54">
        <v>728</v>
      </c>
      <c r="L729" s="54">
        <v>120.91892507513495</v>
      </c>
      <c r="M729" s="54">
        <v>6.8710820264883097</v>
      </c>
      <c r="N729" s="54">
        <v>10.602497131833715</v>
      </c>
      <c r="O729" s="54">
        <v>27.102754225957455</v>
      </c>
    </row>
    <row r="730" spans="1:15" x14ac:dyDescent="0.35">
      <c r="A730" s="59" t="s">
        <v>184</v>
      </c>
      <c r="B730" s="60">
        <v>45781</v>
      </c>
      <c r="C730" s="54">
        <v>117.70222667385559</v>
      </c>
      <c r="D730" s="54"/>
      <c r="E730">
        <v>117.70222667385559</v>
      </c>
      <c r="F730">
        <v>118.13202624683875</v>
      </c>
      <c r="G730">
        <v>101.36661900835725</v>
      </c>
      <c r="H730" s="54">
        <v>557</v>
      </c>
      <c r="I730" s="54" t="s">
        <v>156</v>
      </c>
      <c r="J730" s="54">
        <v>712</v>
      </c>
      <c r="K730" s="54">
        <v>729</v>
      </c>
      <c r="L730" s="54">
        <v>117.59409965922974</v>
      </c>
      <c r="M730" s="54">
        <v>0.10812701462585039</v>
      </c>
      <c r="N730" s="54">
        <v>0.42979957298315696</v>
      </c>
      <c r="O730" s="54">
        <v>16.335607665498344</v>
      </c>
    </row>
    <row r="731" spans="1:15" x14ac:dyDescent="0.35">
      <c r="A731" s="59" t="s">
        <v>184</v>
      </c>
      <c r="B731" s="60">
        <v>45788</v>
      </c>
      <c r="C731" s="54">
        <v>119.36281423322092</v>
      </c>
      <c r="D731" s="54"/>
      <c r="E731">
        <v>119.36281423322092</v>
      </c>
      <c r="F731">
        <v>121.68692047978173</v>
      </c>
      <c r="G731">
        <v>105.20343275317721</v>
      </c>
      <c r="H731" s="54">
        <v>557</v>
      </c>
      <c r="I731" s="54" t="s">
        <v>156</v>
      </c>
      <c r="J731" s="54">
        <v>712</v>
      </c>
      <c r="K731" s="54">
        <v>730</v>
      </c>
      <c r="L731" s="54">
        <v>121.78584856085722</v>
      </c>
      <c r="M731" s="54">
        <v>2.4230343276363016</v>
      </c>
      <c r="N731" s="54">
        <v>2.3241062465608167</v>
      </c>
      <c r="O731" s="54">
        <v>14.159381480043706</v>
      </c>
    </row>
    <row r="732" spans="1:15" x14ac:dyDescent="0.35">
      <c r="A732" s="59" t="s">
        <v>184</v>
      </c>
      <c r="B732" s="60">
        <v>45795</v>
      </c>
      <c r="C732" s="54">
        <v>114.24067898617999</v>
      </c>
      <c r="D732" s="54"/>
      <c r="E732">
        <v>114.24067898617999</v>
      </c>
      <c r="F732">
        <v>129.72613061113665</v>
      </c>
      <c r="G732">
        <v>107.54980007878139</v>
      </c>
      <c r="H732" s="54">
        <v>557</v>
      </c>
      <c r="I732" s="54" t="s">
        <v>156</v>
      </c>
      <c r="J732" s="54">
        <v>712</v>
      </c>
      <c r="K732" s="54">
        <v>731</v>
      </c>
      <c r="L732" s="54">
        <v>131.92754036285885</v>
      </c>
      <c r="M732" s="54">
        <v>17.686861376678863</v>
      </c>
      <c r="N732" s="54">
        <v>15.485451624956667</v>
      </c>
      <c r="O732" s="54">
        <v>6.6908789073985986</v>
      </c>
    </row>
    <row r="733" spans="1:15" x14ac:dyDescent="0.35">
      <c r="A733" s="59" t="s">
        <v>184</v>
      </c>
      <c r="B733" s="60">
        <v>45802</v>
      </c>
      <c r="C733" s="54">
        <v>122.85348220513286</v>
      </c>
      <c r="D733" s="54"/>
      <c r="E733">
        <v>122.85348220513286</v>
      </c>
      <c r="F733">
        <v>126.22821432808573</v>
      </c>
      <c r="G733">
        <v>114.29509159703922</v>
      </c>
      <c r="H733" s="54">
        <v>557</v>
      </c>
      <c r="I733" s="54" t="s">
        <v>156</v>
      </c>
      <c r="J733" s="54">
        <v>712</v>
      </c>
      <c r="K733" s="54">
        <v>732</v>
      </c>
      <c r="L733" s="54">
        <v>125.3505416733061</v>
      </c>
      <c r="M733" s="54">
        <v>2.4970594681732337</v>
      </c>
      <c r="N733" s="54">
        <v>3.3747321229528637</v>
      </c>
      <c r="O733" s="54">
        <v>8.5583906080936458</v>
      </c>
    </row>
    <row r="734" spans="1:15" x14ac:dyDescent="0.35">
      <c r="A734" s="59" t="s">
        <v>184</v>
      </c>
      <c r="B734" s="60">
        <v>45809</v>
      </c>
      <c r="C734" s="54">
        <v>116.18991738751865</v>
      </c>
      <c r="D734" s="54"/>
      <c r="E734">
        <v>116.18991738751865</v>
      </c>
      <c r="F734">
        <v>121.96653009907016</v>
      </c>
      <c r="G734">
        <v>117.96548993463284</v>
      </c>
      <c r="H734" s="54">
        <v>557</v>
      </c>
      <c r="I734" s="54" t="s">
        <v>156</v>
      </c>
      <c r="J734" s="54">
        <v>712</v>
      </c>
      <c r="K734" s="54">
        <v>733</v>
      </c>
      <c r="L734" s="54">
        <v>118.08313645548715</v>
      </c>
      <c r="M734" s="54">
        <v>1.8932190679685021</v>
      </c>
      <c r="N734" s="54">
        <v>5.7766127115515076</v>
      </c>
      <c r="O734" s="54">
        <v>1.7755725471141943</v>
      </c>
    </row>
    <row r="735" spans="1:15" x14ac:dyDescent="0.35">
      <c r="A735" s="59" t="s">
        <v>184</v>
      </c>
      <c r="B735" s="60">
        <v>45816</v>
      </c>
      <c r="C735" s="54">
        <v>117.66649462261358</v>
      </c>
      <c r="D735" s="54"/>
      <c r="E735">
        <v>117.66649462261358</v>
      </c>
      <c r="F735">
        <v>114.34435544722835</v>
      </c>
      <c r="G735">
        <v>118.96873933975544</v>
      </c>
      <c r="H735" s="54">
        <v>557</v>
      </c>
      <c r="I735" s="54" t="s">
        <v>156</v>
      </c>
      <c r="J735" s="54">
        <v>712</v>
      </c>
      <c r="K735" s="54">
        <v>734</v>
      </c>
      <c r="L735" s="54">
        <v>110.60517181792166</v>
      </c>
      <c r="M735" s="54">
        <v>7.0613228046919261</v>
      </c>
      <c r="N735" s="54">
        <v>3.3221391753852316</v>
      </c>
      <c r="O735" s="54">
        <v>1.3022447171418605</v>
      </c>
    </row>
    <row r="736" spans="1:15" x14ac:dyDescent="0.35">
      <c r="A736" s="59" t="s">
        <v>184</v>
      </c>
      <c r="B736" s="60">
        <v>45823</v>
      </c>
      <c r="C736" s="54">
        <v>124.74432581858603</v>
      </c>
      <c r="D736" s="54"/>
      <c r="E736">
        <v>124.74432581858603</v>
      </c>
      <c r="F736">
        <v>131.16663397761536</v>
      </c>
      <c r="G736">
        <v>119.77393174871995</v>
      </c>
      <c r="H736" s="54">
        <v>557</v>
      </c>
      <c r="I736" s="54" t="s">
        <v>156</v>
      </c>
      <c r="J736" s="54">
        <v>712</v>
      </c>
      <c r="K736" s="54">
        <v>735</v>
      </c>
      <c r="L736" s="54">
        <v>129.11125468891552</v>
      </c>
      <c r="M736" s="54">
        <v>4.3669288703294882</v>
      </c>
      <c r="N736" s="54">
        <v>6.4223081590293276</v>
      </c>
      <c r="O736" s="54">
        <v>4.9703940698660887</v>
      </c>
    </row>
    <row r="737" spans="1:15" x14ac:dyDescent="0.35">
      <c r="A737" s="59" t="s">
        <v>184</v>
      </c>
      <c r="B737" s="60">
        <v>45830</v>
      </c>
      <c r="C737" s="54">
        <v>112.50724367752419</v>
      </c>
      <c r="D737" s="54"/>
      <c r="E737">
        <v>112.50724367752419</v>
      </c>
      <c r="F737">
        <v>111.57594156421014</v>
      </c>
      <c r="G737">
        <v>118.53980052459734</v>
      </c>
      <c r="H737" s="54">
        <v>557</v>
      </c>
      <c r="I737" s="54" t="s">
        <v>156</v>
      </c>
      <c r="J737" s="54">
        <v>712</v>
      </c>
      <c r="K737" s="54">
        <v>736</v>
      </c>
      <c r="L737" s="54">
        <v>111.34412188326299</v>
      </c>
      <c r="M737" s="54">
        <v>1.1631217942612011</v>
      </c>
      <c r="N737" s="54">
        <v>0.93130211331404666</v>
      </c>
      <c r="O737" s="54">
        <v>6.0325568470731525</v>
      </c>
    </row>
    <row r="738" spans="1:15" x14ac:dyDescent="0.35">
      <c r="A738" s="59" t="s">
        <v>184</v>
      </c>
      <c r="B738" s="60">
        <v>45837</v>
      </c>
      <c r="C738" s="54">
        <v>130.67592257351745</v>
      </c>
      <c r="D738" s="54"/>
      <c r="E738">
        <v>130.67592257351745</v>
      </c>
      <c r="F738">
        <v>106.28008727132459</v>
      </c>
      <c r="G738">
        <v>118.16172320301311</v>
      </c>
      <c r="H738" s="54">
        <v>557</v>
      </c>
      <c r="I738" s="54" t="s">
        <v>156</v>
      </c>
      <c r="J738" s="54">
        <v>712</v>
      </c>
      <c r="K738" s="54">
        <v>737</v>
      </c>
      <c r="L738" s="54">
        <v>105.35305019771486</v>
      </c>
      <c r="M738" s="54">
        <v>25.322872375802589</v>
      </c>
      <c r="N738" s="54">
        <v>24.395835302192864</v>
      </c>
      <c r="O738" s="54">
        <v>12.514199370504343</v>
      </c>
    </row>
    <row r="739" spans="1:15" x14ac:dyDescent="0.35">
      <c r="A739" s="59" t="s">
        <v>185</v>
      </c>
      <c r="B739" s="60">
        <v>44570</v>
      </c>
      <c r="C739" s="54">
        <v>100.0000005156902</v>
      </c>
      <c r="D739" s="54">
        <v>100.0000005156902</v>
      </c>
      <c r="E739"/>
      <c r="F739"/>
      <c r="G739" t="e">
        <v>#N/A</v>
      </c>
      <c r="H739" s="54">
        <v>739</v>
      </c>
      <c r="I739" s="54">
        <v>1</v>
      </c>
      <c r="J739" s="54">
        <v>739</v>
      </c>
      <c r="K739" s="54">
        <v>738</v>
      </c>
      <c r="L739" s="54" t="e">
        <v>#N/A</v>
      </c>
      <c r="M739" s="54" t="s">
        <v>156</v>
      </c>
      <c r="N739" s="54" t="s">
        <v>156</v>
      </c>
      <c r="O739" s="54" t="s">
        <v>156</v>
      </c>
    </row>
    <row r="740" spans="1:15" x14ac:dyDescent="0.35">
      <c r="A740" s="59" t="s">
        <v>185</v>
      </c>
      <c r="B740" s="60">
        <v>44577</v>
      </c>
      <c r="C740" s="54">
        <v>100.00859453686107</v>
      </c>
      <c r="D740" s="54">
        <v>100.00859453686107</v>
      </c>
      <c r="E740"/>
      <c r="F740"/>
      <c r="G740" t="e">
        <v>#N/A</v>
      </c>
      <c r="H740" s="54">
        <v>739</v>
      </c>
      <c r="I740" s="54">
        <v>2</v>
      </c>
      <c r="J740" s="54">
        <v>740</v>
      </c>
      <c r="K740" s="54">
        <v>739</v>
      </c>
      <c r="L740" s="54" t="e">
        <v>#N/A</v>
      </c>
      <c r="M740" s="54" t="s">
        <v>156</v>
      </c>
      <c r="N740" s="54" t="s">
        <v>156</v>
      </c>
      <c r="O740" s="54" t="s">
        <v>156</v>
      </c>
    </row>
    <row r="741" spans="1:15" x14ac:dyDescent="0.35">
      <c r="A741" s="59" t="s">
        <v>185</v>
      </c>
      <c r="B741" s="60">
        <v>44584</v>
      </c>
      <c r="C741" s="54">
        <v>100.018209951228</v>
      </c>
      <c r="D741" s="54">
        <v>100.018209951228</v>
      </c>
      <c r="E741"/>
      <c r="F741"/>
      <c r="G741" t="e">
        <v>#N/A</v>
      </c>
      <c r="H741" s="54">
        <v>739</v>
      </c>
      <c r="I741" s="54">
        <v>3</v>
      </c>
      <c r="J741" s="54">
        <v>741</v>
      </c>
      <c r="K741" s="54">
        <v>740</v>
      </c>
      <c r="L741" s="54" t="e">
        <v>#N/A</v>
      </c>
      <c r="M741" s="54" t="s">
        <v>156</v>
      </c>
      <c r="N741" s="54" t="s">
        <v>156</v>
      </c>
      <c r="O741" s="54" t="s">
        <v>156</v>
      </c>
    </row>
    <row r="742" spans="1:15" x14ac:dyDescent="0.35">
      <c r="A742" s="59" t="s">
        <v>185</v>
      </c>
      <c r="B742" s="60">
        <v>44591</v>
      </c>
      <c r="C742" s="54">
        <v>100.02902188342941</v>
      </c>
      <c r="D742" s="54">
        <v>100.02902188342941</v>
      </c>
      <c r="E742"/>
      <c r="F742"/>
      <c r="G742" t="e">
        <v>#N/A</v>
      </c>
      <c r="H742" s="54">
        <v>739</v>
      </c>
      <c r="I742" s="54">
        <v>4</v>
      </c>
      <c r="J742" s="54">
        <v>742</v>
      </c>
      <c r="K742" s="54">
        <v>741</v>
      </c>
      <c r="L742" s="54" t="e">
        <v>#N/A</v>
      </c>
      <c r="M742" s="54" t="s">
        <v>156</v>
      </c>
      <c r="N742" s="54" t="s">
        <v>156</v>
      </c>
      <c r="O742" s="54" t="s">
        <v>156</v>
      </c>
    </row>
    <row r="743" spans="1:15" x14ac:dyDescent="0.35">
      <c r="A743" s="59" t="s">
        <v>185</v>
      </c>
      <c r="B743" s="60">
        <v>44598</v>
      </c>
      <c r="C743" s="54">
        <v>100.03970853755192</v>
      </c>
      <c r="D743" s="54">
        <v>100.03970853755192</v>
      </c>
      <c r="E743"/>
      <c r="F743"/>
      <c r="G743" t="e">
        <v>#N/A</v>
      </c>
      <c r="H743" s="54">
        <v>739</v>
      </c>
      <c r="I743" s="54">
        <v>5</v>
      </c>
      <c r="J743" s="54">
        <v>743</v>
      </c>
      <c r="K743" s="54">
        <v>742</v>
      </c>
      <c r="L743" s="54" t="e">
        <v>#N/A</v>
      </c>
      <c r="M743" s="54" t="s">
        <v>156</v>
      </c>
      <c r="N743" s="54" t="s">
        <v>156</v>
      </c>
      <c r="O743" s="54" t="s">
        <v>156</v>
      </c>
    </row>
    <row r="744" spans="1:15" x14ac:dyDescent="0.35">
      <c r="A744" s="59" t="s">
        <v>185</v>
      </c>
      <c r="B744" s="60">
        <v>44605</v>
      </c>
      <c r="C744" s="54">
        <v>100.05112513412092</v>
      </c>
      <c r="D744" s="54">
        <v>100.05112513412092</v>
      </c>
      <c r="E744"/>
      <c r="F744"/>
      <c r="G744" t="e">
        <v>#N/A</v>
      </c>
      <c r="H744" s="54">
        <v>739</v>
      </c>
      <c r="I744" s="54">
        <v>6</v>
      </c>
      <c r="J744" s="54">
        <v>744</v>
      </c>
      <c r="K744" s="54">
        <v>743</v>
      </c>
      <c r="L744" s="54" t="e">
        <v>#N/A</v>
      </c>
      <c r="M744" s="54" t="s">
        <v>156</v>
      </c>
      <c r="N744" s="54" t="s">
        <v>156</v>
      </c>
      <c r="O744" s="54" t="s">
        <v>156</v>
      </c>
    </row>
    <row r="745" spans="1:15" x14ac:dyDescent="0.35">
      <c r="A745" s="59" t="s">
        <v>185</v>
      </c>
      <c r="B745" s="60">
        <v>44612</v>
      </c>
      <c r="C745" s="54">
        <v>100.22126714095053</v>
      </c>
      <c r="D745" s="54">
        <v>100.22126714095053</v>
      </c>
      <c r="E745"/>
      <c r="F745"/>
      <c r="G745" t="e">
        <v>#N/A</v>
      </c>
      <c r="H745" s="54">
        <v>739</v>
      </c>
      <c r="I745" s="54">
        <v>7</v>
      </c>
      <c r="J745" s="54">
        <v>745</v>
      </c>
      <c r="K745" s="54">
        <v>744</v>
      </c>
      <c r="L745" s="54" t="e">
        <v>#N/A</v>
      </c>
      <c r="M745" s="54" t="s">
        <v>156</v>
      </c>
      <c r="N745" s="54" t="s">
        <v>156</v>
      </c>
      <c r="O745" s="54" t="s">
        <v>156</v>
      </c>
    </row>
    <row r="746" spans="1:15" x14ac:dyDescent="0.35">
      <c r="A746" s="59" t="s">
        <v>185</v>
      </c>
      <c r="B746" s="60">
        <v>44619</v>
      </c>
      <c r="C746" s="54">
        <v>100.08323114986166</v>
      </c>
      <c r="D746" s="54">
        <v>100.08323114986166</v>
      </c>
      <c r="E746"/>
      <c r="F746"/>
      <c r="G746" t="e">
        <v>#N/A</v>
      </c>
      <c r="H746" s="54">
        <v>739</v>
      </c>
      <c r="I746" s="54">
        <v>8</v>
      </c>
      <c r="J746" s="54">
        <v>746</v>
      </c>
      <c r="K746" s="54">
        <v>745</v>
      </c>
      <c r="L746" s="54" t="e">
        <v>#N/A</v>
      </c>
      <c r="M746" s="54" t="s">
        <v>156</v>
      </c>
      <c r="N746" s="54" t="s">
        <v>156</v>
      </c>
      <c r="O746" s="54" t="s">
        <v>156</v>
      </c>
    </row>
    <row r="747" spans="1:15" x14ac:dyDescent="0.35">
      <c r="A747" s="59" t="s">
        <v>185</v>
      </c>
      <c r="B747" s="60">
        <v>44626</v>
      </c>
      <c r="C747" s="54">
        <v>100.08934375085154</v>
      </c>
      <c r="D747" s="54">
        <v>100.08934375085154</v>
      </c>
      <c r="E747"/>
      <c r="F747"/>
      <c r="G747" t="e">
        <v>#N/A</v>
      </c>
      <c r="H747" s="54">
        <v>739</v>
      </c>
      <c r="I747" s="54">
        <v>9</v>
      </c>
      <c r="J747" s="54">
        <v>747</v>
      </c>
      <c r="K747" s="54">
        <v>746</v>
      </c>
      <c r="L747" s="54" t="e">
        <v>#N/A</v>
      </c>
      <c r="M747" s="54" t="s">
        <v>156</v>
      </c>
      <c r="N747" s="54" t="s">
        <v>156</v>
      </c>
      <c r="O747" s="54" t="s">
        <v>156</v>
      </c>
    </row>
    <row r="748" spans="1:15" x14ac:dyDescent="0.35">
      <c r="A748" s="59" t="s">
        <v>185</v>
      </c>
      <c r="B748" s="60">
        <v>44633</v>
      </c>
      <c r="C748" s="54">
        <v>100.36385969463512</v>
      </c>
      <c r="D748" s="54">
        <v>100.36385969463512</v>
      </c>
      <c r="E748"/>
      <c r="F748"/>
      <c r="G748" t="e">
        <v>#N/A</v>
      </c>
      <c r="H748" s="54">
        <v>739</v>
      </c>
      <c r="I748" s="54">
        <v>10</v>
      </c>
      <c r="J748" s="54">
        <v>748</v>
      </c>
      <c r="K748" s="54">
        <v>747</v>
      </c>
      <c r="L748" s="54" t="e">
        <v>#N/A</v>
      </c>
      <c r="M748" s="54" t="s">
        <v>156</v>
      </c>
      <c r="N748" s="54" t="s">
        <v>156</v>
      </c>
      <c r="O748" s="54" t="s">
        <v>156</v>
      </c>
    </row>
    <row r="749" spans="1:15" x14ac:dyDescent="0.35">
      <c r="A749" s="59" t="s">
        <v>185</v>
      </c>
      <c r="B749" s="60">
        <v>44640</v>
      </c>
      <c r="C749" s="54">
        <v>100.47533556134339</v>
      </c>
      <c r="D749" s="54">
        <v>100.47533556134339</v>
      </c>
      <c r="E749"/>
      <c r="F749"/>
      <c r="G749" t="e">
        <v>#N/A</v>
      </c>
      <c r="H749" s="54">
        <v>739</v>
      </c>
      <c r="I749" s="54">
        <v>11</v>
      </c>
      <c r="J749" s="54">
        <v>749</v>
      </c>
      <c r="K749" s="54">
        <v>748</v>
      </c>
      <c r="L749" s="54" t="e">
        <v>#N/A</v>
      </c>
      <c r="M749" s="54" t="s">
        <v>156</v>
      </c>
      <c r="N749" s="54" t="s">
        <v>156</v>
      </c>
      <c r="O749" s="54" t="s">
        <v>156</v>
      </c>
    </row>
    <row r="750" spans="1:15" x14ac:dyDescent="0.35">
      <c r="A750" s="59" t="s">
        <v>185</v>
      </c>
      <c r="B750" s="60">
        <v>44647</v>
      </c>
      <c r="C750" s="54">
        <v>100.58894635615296</v>
      </c>
      <c r="D750" s="54">
        <v>100.58894635615296</v>
      </c>
      <c r="E750"/>
      <c r="F750"/>
      <c r="G750" t="e">
        <v>#N/A</v>
      </c>
      <c r="H750" s="54">
        <v>739</v>
      </c>
      <c r="I750" s="54">
        <v>12</v>
      </c>
      <c r="J750" s="54">
        <v>750</v>
      </c>
      <c r="K750" s="54">
        <v>749</v>
      </c>
      <c r="L750" s="54" t="e">
        <v>#N/A</v>
      </c>
      <c r="M750" s="54" t="s">
        <v>156</v>
      </c>
      <c r="N750" s="54" t="s">
        <v>156</v>
      </c>
      <c r="O750" s="54" t="s">
        <v>156</v>
      </c>
    </row>
    <row r="751" spans="1:15" x14ac:dyDescent="0.35">
      <c r="A751" s="59" t="s">
        <v>185</v>
      </c>
      <c r="B751" s="60">
        <v>44654</v>
      </c>
      <c r="C751" s="54">
        <v>100.17987592376932</v>
      </c>
      <c r="D751" s="54">
        <v>100.17987592376932</v>
      </c>
      <c r="E751"/>
      <c r="F751"/>
      <c r="G751" t="e">
        <v>#N/A</v>
      </c>
      <c r="H751" s="54">
        <v>739</v>
      </c>
      <c r="I751" s="54">
        <v>13</v>
      </c>
      <c r="J751" s="54">
        <v>751</v>
      </c>
      <c r="K751" s="54">
        <v>750</v>
      </c>
      <c r="L751" s="54" t="e">
        <v>#N/A</v>
      </c>
      <c r="M751" s="54" t="s">
        <v>156</v>
      </c>
      <c r="N751" s="54" t="s">
        <v>156</v>
      </c>
      <c r="O751" s="54" t="s">
        <v>156</v>
      </c>
    </row>
    <row r="752" spans="1:15" x14ac:dyDescent="0.35">
      <c r="A752" s="59" t="s">
        <v>185</v>
      </c>
      <c r="B752" s="60">
        <v>44661</v>
      </c>
      <c r="C752" s="54">
        <v>105.37897897569027</v>
      </c>
      <c r="D752" s="54">
        <v>105.37897897569027</v>
      </c>
      <c r="E752"/>
      <c r="F752"/>
      <c r="G752" t="e">
        <v>#N/A</v>
      </c>
      <c r="H752" s="54">
        <v>739</v>
      </c>
      <c r="I752" s="54">
        <v>14</v>
      </c>
      <c r="J752" s="54">
        <v>752</v>
      </c>
      <c r="K752" s="54">
        <v>751</v>
      </c>
      <c r="L752" s="54" t="e">
        <v>#N/A</v>
      </c>
      <c r="M752" s="54" t="s">
        <v>156</v>
      </c>
      <c r="N752" s="54" t="s">
        <v>156</v>
      </c>
      <c r="O752" s="54" t="s">
        <v>156</v>
      </c>
    </row>
    <row r="753" spans="1:15" x14ac:dyDescent="0.35">
      <c r="A753" s="59" t="s">
        <v>185</v>
      </c>
      <c r="B753" s="60">
        <v>44668</v>
      </c>
      <c r="C753" s="54">
        <v>107.73187304587944</v>
      </c>
      <c r="D753" s="54">
        <v>107.73187304587944</v>
      </c>
      <c r="E753"/>
      <c r="F753"/>
      <c r="G753" t="e">
        <v>#N/A</v>
      </c>
      <c r="H753" s="54">
        <v>739</v>
      </c>
      <c r="I753" s="54">
        <v>15</v>
      </c>
      <c r="J753" s="54">
        <v>753</v>
      </c>
      <c r="K753" s="54">
        <v>752</v>
      </c>
      <c r="L753" s="54" t="e">
        <v>#N/A</v>
      </c>
      <c r="M753" s="54" t="s">
        <v>156</v>
      </c>
      <c r="N753" s="54" t="s">
        <v>156</v>
      </c>
      <c r="O753" s="54" t="s">
        <v>156</v>
      </c>
    </row>
    <row r="754" spans="1:15" x14ac:dyDescent="0.35">
      <c r="A754" s="59" t="s">
        <v>185</v>
      </c>
      <c r="B754" s="60">
        <v>44675</v>
      </c>
      <c r="C754" s="54">
        <v>109.21716678509527</v>
      </c>
      <c r="D754" s="54">
        <v>109.21716678509527</v>
      </c>
      <c r="E754"/>
      <c r="F754"/>
      <c r="G754" t="e">
        <v>#N/A</v>
      </c>
      <c r="H754" s="54">
        <v>739</v>
      </c>
      <c r="I754" s="54">
        <v>16</v>
      </c>
      <c r="J754" s="54">
        <v>754</v>
      </c>
      <c r="K754" s="54">
        <v>753</v>
      </c>
      <c r="L754" s="54" t="e">
        <v>#N/A</v>
      </c>
      <c r="M754" s="54" t="s">
        <v>156</v>
      </c>
      <c r="N754" s="54" t="s">
        <v>156</v>
      </c>
      <c r="O754" s="54" t="s">
        <v>156</v>
      </c>
    </row>
    <row r="755" spans="1:15" x14ac:dyDescent="0.35">
      <c r="A755" s="59" t="s">
        <v>185</v>
      </c>
      <c r="B755" s="60">
        <v>44682</v>
      </c>
      <c r="C755" s="54">
        <v>100.89321410419649</v>
      </c>
      <c r="D755" s="54">
        <v>100.89321410419649</v>
      </c>
      <c r="E755"/>
      <c r="F755"/>
      <c r="G755" t="e">
        <v>#N/A</v>
      </c>
      <c r="H755" s="54">
        <v>739</v>
      </c>
      <c r="I755" s="54">
        <v>17</v>
      </c>
      <c r="J755" s="54">
        <v>755</v>
      </c>
      <c r="K755" s="54">
        <v>754</v>
      </c>
      <c r="L755" s="54" t="e">
        <v>#N/A</v>
      </c>
      <c r="M755" s="54" t="s">
        <v>156</v>
      </c>
      <c r="N755" s="54" t="s">
        <v>156</v>
      </c>
      <c r="O755" s="54" t="s">
        <v>156</v>
      </c>
    </row>
    <row r="756" spans="1:15" x14ac:dyDescent="0.35">
      <c r="A756" s="59" t="s">
        <v>185</v>
      </c>
      <c r="B756" s="60">
        <v>44689</v>
      </c>
      <c r="C756" s="54">
        <v>101.39738172103385</v>
      </c>
      <c r="D756" s="54">
        <v>101.39738172103385</v>
      </c>
      <c r="E756"/>
      <c r="F756"/>
      <c r="G756" t="e">
        <v>#N/A</v>
      </c>
      <c r="H756" s="54">
        <v>739</v>
      </c>
      <c r="I756" s="54">
        <v>18</v>
      </c>
      <c r="J756" s="54">
        <v>756</v>
      </c>
      <c r="K756" s="54">
        <v>755</v>
      </c>
      <c r="L756" s="54" t="e">
        <v>#N/A</v>
      </c>
      <c r="M756" s="54" t="s">
        <v>156</v>
      </c>
      <c r="N756" s="54" t="s">
        <v>156</v>
      </c>
      <c r="O756" s="54" t="s">
        <v>156</v>
      </c>
    </row>
    <row r="757" spans="1:15" x14ac:dyDescent="0.35">
      <c r="A757" s="59" t="s">
        <v>185</v>
      </c>
      <c r="B757" s="60">
        <v>44696</v>
      </c>
      <c r="C757" s="54">
        <v>109.32647211054032</v>
      </c>
      <c r="D757" s="54">
        <v>109.32647211054032</v>
      </c>
      <c r="E757"/>
      <c r="F757"/>
      <c r="G757" t="e">
        <v>#N/A</v>
      </c>
      <c r="H757" s="54">
        <v>739</v>
      </c>
      <c r="I757" s="54">
        <v>19</v>
      </c>
      <c r="J757" s="54">
        <v>757</v>
      </c>
      <c r="K757" s="54">
        <v>756</v>
      </c>
      <c r="L757" s="54" t="e">
        <v>#N/A</v>
      </c>
      <c r="M757" s="54" t="s">
        <v>156</v>
      </c>
      <c r="N757" s="54" t="s">
        <v>156</v>
      </c>
      <c r="O757" s="54" t="s">
        <v>156</v>
      </c>
    </row>
    <row r="758" spans="1:15" x14ac:dyDescent="0.35">
      <c r="A758" s="59" t="s">
        <v>185</v>
      </c>
      <c r="B758" s="60">
        <v>44703</v>
      </c>
      <c r="C758" s="54">
        <v>121.01256348218033</v>
      </c>
      <c r="D758" s="54">
        <v>121.01256348218033</v>
      </c>
      <c r="E758"/>
      <c r="F758"/>
      <c r="G758" t="e">
        <v>#N/A</v>
      </c>
      <c r="H758" s="54">
        <v>739</v>
      </c>
      <c r="I758" s="54">
        <v>20</v>
      </c>
      <c r="J758" s="54">
        <v>758</v>
      </c>
      <c r="K758" s="54">
        <v>757</v>
      </c>
      <c r="L758" s="54" t="e">
        <v>#N/A</v>
      </c>
      <c r="M758" s="54" t="s">
        <v>156</v>
      </c>
      <c r="N758" s="54" t="s">
        <v>156</v>
      </c>
      <c r="O758" s="54" t="s">
        <v>156</v>
      </c>
    </row>
    <row r="759" spans="1:15" x14ac:dyDescent="0.35">
      <c r="A759" s="59" t="s">
        <v>185</v>
      </c>
      <c r="B759" s="60">
        <v>44710</v>
      </c>
      <c r="C759" s="54">
        <v>125.02952328729212</v>
      </c>
      <c r="D759" s="54">
        <v>125.02952328729212</v>
      </c>
      <c r="E759"/>
      <c r="F759"/>
      <c r="G759" t="e">
        <v>#N/A</v>
      </c>
      <c r="H759" s="54">
        <v>739</v>
      </c>
      <c r="I759" s="54">
        <v>21</v>
      </c>
      <c r="J759" s="54">
        <v>759</v>
      </c>
      <c r="K759" s="54">
        <v>758</v>
      </c>
      <c r="L759" s="54" t="e">
        <v>#N/A</v>
      </c>
      <c r="M759" s="54" t="s">
        <v>156</v>
      </c>
      <c r="N759" s="54" t="s">
        <v>156</v>
      </c>
      <c r="O759" s="54" t="s">
        <v>156</v>
      </c>
    </row>
    <row r="760" spans="1:15" x14ac:dyDescent="0.35">
      <c r="A760" s="59" t="s">
        <v>185</v>
      </c>
      <c r="B760" s="60">
        <v>44717</v>
      </c>
      <c r="C760" s="54">
        <v>124.9519809597162</v>
      </c>
      <c r="D760" s="54">
        <v>124.9519809597162</v>
      </c>
      <c r="E760"/>
      <c r="F760"/>
      <c r="G760" t="e">
        <v>#N/A</v>
      </c>
      <c r="H760" s="54">
        <v>739</v>
      </c>
      <c r="I760" s="54">
        <v>22</v>
      </c>
      <c r="J760" s="54">
        <v>760</v>
      </c>
      <c r="K760" s="54">
        <v>759</v>
      </c>
      <c r="L760" s="54" t="e">
        <v>#N/A</v>
      </c>
      <c r="M760" s="54" t="s">
        <v>156</v>
      </c>
      <c r="N760" s="54" t="s">
        <v>156</v>
      </c>
      <c r="O760" s="54" t="s">
        <v>156</v>
      </c>
    </row>
    <row r="761" spans="1:15" x14ac:dyDescent="0.35">
      <c r="A761" s="59" t="s">
        <v>185</v>
      </c>
      <c r="B761" s="60">
        <v>44724</v>
      </c>
      <c r="C761" s="54">
        <v>111.35338743723776</v>
      </c>
      <c r="D761" s="54">
        <v>111.35338743723776</v>
      </c>
      <c r="E761"/>
      <c r="F761"/>
      <c r="G761" t="e">
        <v>#N/A</v>
      </c>
      <c r="H761" s="54">
        <v>739</v>
      </c>
      <c r="I761" s="54">
        <v>23</v>
      </c>
      <c r="J761" s="54">
        <v>761</v>
      </c>
      <c r="K761" s="54">
        <v>760</v>
      </c>
      <c r="L761" s="54" t="e">
        <v>#N/A</v>
      </c>
      <c r="M761" s="54" t="s">
        <v>156</v>
      </c>
      <c r="N761" s="54" t="s">
        <v>156</v>
      </c>
      <c r="O761" s="54" t="s">
        <v>156</v>
      </c>
    </row>
    <row r="762" spans="1:15" x14ac:dyDescent="0.35">
      <c r="A762" s="59" t="s">
        <v>185</v>
      </c>
      <c r="B762" s="60">
        <v>44731</v>
      </c>
      <c r="C762" s="54">
        <v>134.02072657283725</v>
      </c>
      <c r="D762" s="54">
        <v>134.02072657283725</v>
      </c>
      <c r="E762"/>
      <c r="F762"/>
      <c r="G762" t="e">
        <v>#N/A</v>
      </c>
      <c r="H762" s="54">
        <v>739</v>
      </c>
      <c r="I762" s="54">
        <v>24</v>
      </c>
      <c r="J762" s="54">
        <v>762</v>
      </c>
      <c r="K762" s="54">
        <v>761</v>
      </c>
      <c r="L762" s="54" t="e">
        <v>#N/A</v>
      </c>
      <c r="M762" s="54" t="s">
        <v>156</v>
      </c>
      <c r="N762" s="54" t="s">
        <v>156</v>
      </c>
      <c r="O762" s="54" t="s">
        <v>156</v>
      </c>
    </row>
    <row r="763" spans="1:15" x14ac:dyDescent="0.35">
      <c r="A763" s="59" t="s">
        <v>185</v>
      </c>
      <c r="B763" s="60">
        <v>44738</v>
      </c>
      <c r="C763" s="54">
        <v>103.36692979103442</v>
      </c>
      <c r="D763" s="54">
        <v>103.36692979103442</v>
      </c>
      <c r="E763"/>
      <c r="F763"/>
      <c r="G763" t="e">
        <v>#N/A</v>
      </c>
      <c r="H763" s="54">
        <v>739</v>
      </c>
      <c r="I763" s="54">
        <v>25</v>
      </c>
      <c r="J763" s="54">
        <v>763</v>
      </c>
      <c r="K763" s="54">
        <v>762</v>
      </c>
      <c r="L763" s="54" t="e">
        <v>#N/A</v>
      </c>
      <c r="M763" s="54" t="s">
        <v>156</v>
      </c>
      <c r="N763" s="54" t="s">
        <v>156</v>
      </c>
      <c r="O763" s="54" t="s">
        <v>156</v>
      </c>
    </row>
    <row r="764" spans="1:15" x14ac:dyDescent="0.35">
      <c r="A764" s="59" t="s">
        <v>185</v>
      </c>
      <c r="B764" s="60">
        <v>44745</v>
      </c>
      <c r="C764" s="54">
        <v>103.40183474969848</v>
      </c>
      <c r="D764" s="54">
        <v>103.40183474969848</v>
      </c>
      <c r="E764"/>
      <c r="F764"/>
      <c r="G764" t="e">
        <v>#N/A</v>
      </c>
      <c r="H764" s="54">
        <v>739</v>
      </c>
      <c r="I764" s="54">
        <v>26</v>
      </c>
      <c r="J764" s="54">
        <v>764</v>
      </c>
      <c r="K764" s="54">
        <v>763</v>
      </c>
      <c r="L764" s="54" t="e">
        <v>#N/A</v>
      </c>
      <c r="M764" s="54" t="s">
        <v>156</v>
      </c>
      <c r="N764" s="54" t="s">
        <v>156</v>
      </c>
      <c r="O764" s="54" t="s">
        <v>156</v>
      </c>
    </row>
    <row r="765" spans="1:15" x14ac:dyDescent="0.35">
      <c r="A765" s="59" t="s">
        <v>185</v>
      </c>
      <c r="B765" s="60">
        <v>44752</v>
      </c>
      <c r="C765" s="54">
        <v>113.81142297623686</v>
      </c>
      <c r="D765" s="54">
        <v>113.81142297623686</v>
      </c>
      <c r="E765"/>
      <c r="F765"/>
      <c r="G765" t="e">
        <v>#N/A</v>
      </c>
      <c r="H765" s="54">
        <v>739</v>
      </c>
      <c r="I765" s="54">
        <v>27</v>
      </c>
      <c r="J765" s="54">
        <v>765</v>
      </c>
      <c r="K765" s="54">
        <v>764</v>
      </c>
      <c r="L765" s="54" t="e">
        <v>#N/A</v>
      </c>
      <c r="M765" s="54" t="s">
        <v>156</v>
      </c>
      <c r="N765" s="54" t="s">
        <v>156</v>
      </c>
      <c r="O765" s="54" t="s">
        <v>156</v>
      </c>
    </row>
    <row r="766" spans="1:15" x14ac:dyDescent="0.35">
      <c r="A766" s="59" t="s">
        <v>185</v>
      </c>
      <c r="B766" s="60">
        <v>44759</v>
      </c>
      <c r="C766" s="54">
        <v>100.63438098619871</v>
      </c>
      <c r="D766" s="54">
        <v>100.63438098619871</v>
      </c>
      <c r="E766"/>
      <c r="F766"/>
      <c r="G766" t="e">
        <v>#N/A</v>
      </c>
      <c r="H766" s="54">
        <v>739</v>
      </c>
      <c r="I766" s="54">
        <v>28</v>
      </c>
      <c r="J766" s="54">
        <v>766</v>
      </c>
      <c r="K766" s="54">
        <v>765</v>
      </c>
      <c r="L766" s="54" t="e">
        <v>#N/A</v>
      </c>
      <c r="M766" s="54" t="s">
        <v>156</v>
      </c>
      <c r="N766" s="54" t="s">
        <v>156</v>
      </c>
      <c r="O766" s="54" t="s">
        <v>156</v>
      </c>
    </row>
    <row r="767" spans="1:15" x14ac:dyDescent="0.35">
      <c r="A767" s="59" t="s">
        <v>185</v>
      </c>
      <c r="B767" s="60">
        <v>44766</v>
      </c>
      <c r="C767" s="54">
        <v>101.1571988040983</v>
      </c>
      <c r="D767" s="54">
        <v>101.1571988040983</v>
      </c>
      <c r="E767"/>
      <c r="F767"/>
      <c r="G767" t="e">
        <v>#N/A</v>
      </c>
      <c r="H767" s="54">
        <v>739</v>
      </c>
      <c r="I767" s="54">
        <v>29</v>
      </c>
      <c r="J767" s="54">
        <v>767</v>
      </c>
      <c r="K767" s="54">
        <v>766</v>
      </c>
      <c r="L767" s="54" t="e">
        <v>#N/A</v>
      </c>
      <c r="M767" s="54" t="s">
        <v>156</v>
      </c>
      <c r="N767" s="54" t="s">
        <v>156</v>
      </c>
      <c r="O767" s="54" t="s">
        <v>156</v>
      </c>
    </row>
    <row r="768" spans="1:15" x14ac:dyDescent="0.35">
      <c r="A768" s="59" t="s">
        <v>185</v>
      </c>
      <c r="B768" s="60">
        <v>44773</v>
      </c>
      <c r="C768" s="54">
        <v>100.63735098348555</v>
      </c>
      <c r="D768" s="54">
        <v>100.63735098348555</v>
      </c>
      <c r="E768"/>
      <c r="F768"/>
      <c r="G768" t="e">
        <v>#N/A</v>
      </c>
      <c r="H768" s="54">
        <v>739</v>
      </c>
      <c r="I768" s="54">
        <v>30</v>
      </c>
      <c r="J768" s="54">
        <v>768</v>
      </c>
      <c r="K768" s="54">
        <v>767</v>
      </c>
      <c r="L768" s="54" t="e">
        <v>#N/A</v>
      </c>
      <c r="M768" s="54" t="s">
        <v>156</v>
      </c>
      <c r="N768" s="54" t="s">
        <v>156</v>
      </c>
      <c r="O768" s="54" t="s">
        <v>156</v>
      </c>
    </row>
    <row r="769" spans="1:15" x14ac:dyDescent="0.35">
      <c r="A769" s="59" t="s">
        <v>185</v>
      </c>
      <c r="B769" s="60">
        <v>44780</v>
      </c>
      <c r="C769" s="54">
        <v>101.45129693545601</v>
      </c>
      <c r="D769" s="54">
        <v>101.45129693545601</v>
      </c>
      <c r="E769"/>
      <c r="F769"/>
      <c r="G769" t="e">
        <v>#N/A</v>
      </c>
      <c r="H769" s="54">
        <v>739</v>
      </c>
      <c r="I769" s="54">
        <v>31</v>
      </c>
      <c r="J769" s="54">
        <v>769</v>
      </c>
      <c r="K769" s="54">
        <v>768</v>
      </c>
      <c r="L769" s="54" t="e">
        <v>#N/A</v>
      </c>
      <c r="M769" s="54" t="s">
        <v>156</v>
      </c>
      <c r="N769" s="54" t="s">
        <v>156</v>
      </c>
      <c r="O769" s="54" t="s">
        <v>156</v>
      </c>
    </row>
    <row r="770" spans="1:15" x14ac:dyDescent="0.35">
      <c r="A770" s="59" t="s">
        <v>185</v>
      </c>
      <c r="B770" s="60">
        <v>44787</v>
      </c>
      <c r="C770" s="54">
        <v>107.09080332185749</v>
      </c>
      <c r="D770" s="54">
        <v>107.09080332185749</v>
      </c>
      <c r="E770"/>
      <c r="F770"/>
      <c r="G770" t="e">
        <v>#N/A</v>
      </c>
      <c r="H770" s="54">
        <v>739</v>
      </c>
      <c r="I770" s="54">
        <v>32</v>
      </c>
      <c r="J770" s="54">
        <v>770</v>
      </c>
      <c r="K770" s="54">
        <v>769</v>
      </c>
      <c r="L770" s="54" t="e">
        <v>#N/A</v>
      </c>
      <c r="M770" s="54" t="s">
        <v>156</v>
      </c>
      <c r="N770" s="54" t="s">
        <v>156</v>
      </c>
      <c r="O770" s="54" t="s">
        <v>156</v>
      </c>
    </row>
    <row r="771" spans="1:15" x14ac:dyDescent="0.35">
      <c r="A771" s="59" t="s">
        <v>185</v>
      </c>
      <c r="B771" s="60">
        <v>44794</v>
      </c>
      <c r="C771" s="54">
        <v>107.74494441056576</v>
      </c>
      <c r="D771" s="54">
        <v>107.74494441056576</v>
      </c>
      <c r="E771"/>
      <c r="F771"/>
      <c r="G771" t="e">
        <v>#N/A</v>
      </c>
      <c r="H771" s="54">
        <v>739</v>
      </c>
      <c r="I771" s="54">
        <v>33</v>
      </c>
      <c r="J771" s="54">
        <v>771</v>
      </c>
      <c r="K771" s="54">
        <v>770</v>
      </c>
      <c r="L771" s="54" t="e">
        <v>#N/A</v>
      </c>
      <c r="M771" s="54" t="s">
        <v>156</v>
      </c>
      <c r="N771" s="54" t="s">
        <v>156</v>
      </c>
      <c r="O771" s="54" t="s">
        <v>156</v>
      </c>
    </row>
    <row r="772" spans="1:15" x14ac:dyDescent="0.35">
      <c r="A772" s="59" t="s">
        <v>185</v>
      </c>
      <c r="B772" s="60">
        <v>44801</v>
      </c>
      <c r="C772" s="54">
        <v>100.76019692963158</v>
      </c>
      <c r="D772" s="54">
        <v>100.76019692963158</v>
      </c>
      <c r="E772"/>
      <c r="F772"/>
      <c r="G772" t="e">
        <v>#N/A</v>
      </c>
      <c r="H772" s="54">
        <v>739</v>
      </c>
      <c r="I772" s="54">
        <v>34</v>
      </c>
      <c r="J772" s="54">
        <v>772</v>
      </c>
      <c r="K772" s="54">
        <v>771</v>
      </c>
      <c r="L772" s="54" t="e">
        <v>#N/A</v>
      </c>
      <c r="M772" s="54" t="s">
        <v>156</v>
      </c>
      <c r="N772" s="54" t="s">
        <v>156</v>
      </c>
      <c r="O772" s="54" t="s">
        <v>156</v>
      </c>
    </row>
    <row r="773" spans="1:15" x14ac:dyDescent="0.35">
      <c r="A773" s="59" t="s">
        <v>185</v>
      </c>
      <c r="B773" s="60">
        <v>44808</v>
      </c>
      <c r="C773" s="54">
        <v>101.63032630844782</v>
      </c>
      <c r="D773" s="54">
        <v>101.63032630844782</v>
      </c>
      <c r="E773"/>
      <c r="F773"/>
      <c r="G773" t="e">
        <v>#N/A</v>
      </c>
      <c r="H773" s="54">
        <v>739</v>
      </c>
      <c r="I773" s="54">
        <v>35</v>
      </c>
      <c r="J773" s="54">
        <v>773</v>
      </c>
      <c r="K773" s="54">
        <v>772</v>
      </c>
      <c r="L773" s="54" t="e">
        <v>#N/A</v>
      </c>
      <c r="M773" s="54" t="s">
        <v>156</v>
      </c>
      <c r="N773" s="54" t="s">
        <v>156</v>
      </c>
      <c r="O773" s="54" t="s">
        <v>156</v>
      </c>
    </row>
    <row r="774" spans="1:15" x14ac:dyDescent="0.35">
      <c r="A774" s="59" t="s">
        <v>185</v>
      </c>
      <c r="B774" s="60">
        <v>44815</v>
      </c>
      <c r="C774" s="54">
        <v>103.41823065685261</v>
      </c>
      <c r="D774" s="54">
        <v>103.41823065685261</v>
      </c>
      <c r="E774"/>
      <c r="F774"/>
      <c r="G774" t="e">
        <v>#N/A</v>
      </c>
      <c r="H774" s="54">
        <v>739</v>
      </c>
      <c r="I774" s="54">
        <v>36</v>
      </c>
      <c r="J774" s="54">
        <v>774</v>
      </c>
      <c r="K774" s="54">
        <v>773</v>
      </c>
      <c r="L774" s="54" t="e">
        <v>#N/A</v>
      </c>
      <c r="M774" s="54" t="s">
        <v>156</v>
      </c>
      <c r="N774" s="54" t="s">
        <v>156</v>
      </c>
      <c r="O774" s="54" t="s">
        <v>156</v>
      </c>
    </row>
    <row r="775" spans="1:15" x14ac:dyDescent="0.35">
      <c r="A775" s="59" t="s">
        <v>185</v>
      </c>
      <c r="B775" s="60">
        <v>44822</v>
      </c>
      <c r="C775" s="54">
        <v>117.1545806757301</v>
      </c>
      <c r="D775" s="54">
        <v>117.1545806757301</v>
      </c>
      <c r="E775"/>
      <c r="F775"/>
      <c r="G775" t="e">
        <v>#N/A</v>
      </c>
      <c r="H775" s="54">
        <v>739</v>
      </c>
      <c r="I775" s="54">
        <v>37</v>
      </c>
      <c r="J775" s="54">
        <v>775</v>
      </c>
      <c r="K775" s="54">
        <v>774</v>
      </c>
      <c r="L775" s="54" t="e">
        <v>#N/A</v>
      </c>
      <c r="M775" s="54" t="s">
        <v>156</v>
      </c>
      <c r="N775" s="54" t="s">
        <v>156</v>
      </c>
      <c r="O775" s="54" t="s">
        <v>156</v>
      </c>
    </row>
    <row r="776" spans="1:15" x14ac:dyDescent="0.35">
      <c r="A776" s="59" t="s">
        <v>185</v>
      </c>
      <c r="B776" s="60">
        <v>44829</v>
      </c>
      <c r="C776" s="54">
        <v>111.73486698375388</v>
      </c>
      <c r="D776" s="54">
        <v>111.73486698375388</v>
      </c>
      <c r="E776"/>
      <c r="F776"/>
      <c r="G776" t="e">
        <v>#N/A</v>
      </c>
      <c r="H776" s="54">
        <v>739</v>
      </c>
      <c r="I776" s="54">
        <v>38</v>
      </c>
      <c r="J776" s="54">
        <v>776</v>
      </c>
      <c r="K776" s="54">
        <v>775</v>
      </c>
      <c r="L776" s="54" t="e">
        <v>#N/A</v>
      </c>
      <c r="M776" s="54" t="s">
        <v>156</v>
      </c>
      <c r="N776" s="54" t="s">
        <v>156</v>
      </c>
      <c r="O776" s="54" t="s">
        <v>156</v>
      </c>
    </row>
    <row r="777" spans="1:15" x14ac:dyDescent="0.35">
      <c r="A777" s="59" t="s">
        <v>185</v>
      </c>
      <c r="B777" s="60">
        <v>44836</v>
      </c>
      <c r="C777" s="54">
        <v>110.39095888220834</v>
      </c>
      <c r="D777" s="54">
        <v>110.39095888220834</v>
      </c>
      <c r="E777"/>
      <c r="F777"/>
      <c r="G777" t="e">
        <v>#N/A</v>
      </c>
      <c r="H777" s="54">
        <v>739</v>
      </c>
      <c r="I777" s="54">
        <v>39</v>
      </c>
      <c r="J777" s="54">
        <v>777</v>
      </c>
      <c r="K777" s="54">
        <v>776</v>
      </c>
      <c r="L777" s="54" t="e">
        <v>#N/A</v>
      </c>
      <c r="M777" s="54" t="s">
        <v>156</v>
      </c>
      <c r="N777" s="54" t="s">
        <v>156</v>
      </c>
      <c r="O777" s="54" t="s">
        <v>156</v>
      </c>
    </row>
    <row r="778" spans="1:15" x14ac:dyDescent="0.35">
      <c r="A778" s="59" t="s">
        <v>185</v>
      </c>
      <c r="B778" s="60">
        <v>44843</v>
      </c>
      <c r="C778" s="54">
        <v>117.34743215652722</v>
      </c>
      <c r="D778" s="54">
        <v>117.34743215652722</v>
      </c>
      <c r="E778"/>
      <c r="F778"/>
      <c r="G778" t="e">
        <v>#N/A</v>
      </c>
      <c r="H778" s="54">
        <v>739</v>
      </c>
      <c r="I778" s="54">
        <v>40</v>
      </c>
      <c r="J778" s="54">
        <v>778</v>
      </c>
      <c r="K778" s="54">
        <v>777</v>
      </c>
      <c r="L778" s="54" t="e">
        <v>#N/A</v>
      </c>
      <c r="M778" s="54" t="s">
        <v>156</v>
      </c>
      <c r="N778" s="54" t="s">
        <v>156</v>
      </c>
      <c r="O778" s="54" t="s">
        <v>156</v>
      </c>
    </row>
    <row r="779" spans="1:15" x14ac:dyDescent="0.35">
      <c r="A779" s="59" t="s">
        <v>185</v>
      </c>
      <c r="B779" s="60">
        <v>44850</v>
      </c>
      <c r="C779" s="54">
        <v>115.19341044914881</v>
      </c>
      <c r="D779" s="54">
        <v>115.19341044914881</v>
      </c>
      <c r="E779"/>
      <c r="F779"/>
      <c r="G779" t="e">
        <v>#N/A</v>
      </c>
      <c r="H779" s="54">
        <v>739</v>
      </c>
      <c r="I779" s="54">
        <v>41</v>
      </c>
      <c r="J779" s="54">
        <v>779</v>
      </c>
      <c r="K779" s="54">
        <v>778</v>
      </c>
      <c r="L779" s="54" t="e">
        <v>#N/A</v>
      </c>
      <c r="M779" s="54" t="s">
        <v>156</v>
      </c>
      <c r="N779" s="54" t="s">
        <v>156</v>
      </c>
      <c r="O779" s="54" t="s">
        <v>156</v>
      </c>
    </row>
    <row r="780" spans="1:15" x14ac:dyDescent="0.35">
      <c r="A780" s="59" t="s">
        <v>185</v>
      </c>
      <c r="B780" s="60">
        <v>44857</v>
      </c>
      <c r="C780" s="54">
        <v>106.93223244355976</v>
      </c>
      <c r="D780" s="54">
        <v>106.93223244355976</v>
      </c>
      <c r="E780"/>
      <c r="F780"/>
      <c r="G780" t="e">
        <v>#N/A</v>
      </c>
      <c r="H780" s="54">
        <v>739</v>
      </c>
      <c r="I780" s="54">
        <v>42</v>
      </c>
      <c r="J780" s="54">
        <v>780</v>
      </c>
      <c r="K780" s="54">
        <v>779</v>
      </c>
      <c r="L780" s="54" t="e">
        <v>#N/A</v>
      </c>
      <c r="M780" s="54" t="s">
        <v>156</v>
      </c>
      <c r="N780" s="54" t="s">
        <v>156</v>
      </c>
      <c r="O780" s="54" t="s">
        <v>156</v>
      </c>
    </row>
    <row r="781" spans="1:15" x14ac:dyDescent="0.35">
      <c r="A781" s="59" t="s">
        <v>185</v>
      </c>
      <c r="B781" s="60">
        <v>44864</v>
      </c>
      <c r="C781" s="54">
        <v>116.91708184180824</v>
      </c>
      <c r="D781" s="54">
        <v>116.91708184180824</v>
      </c>
      <c r="E781"/>
      <c r="F781"/>
      <c r="G781" t="e">
        <v>#N/A</v>
      </c>
      <c r="H781" s="54">
        <v>739</v>
      </c>
      <c r="I781" s="54">
        <v>43</v>
      </c>
      <c r="J781" s="54">
        <v>781</v>
      </c>
      <c r="K781" s="54">
        <v>780</v>
      </c>
      <c r="L781" s="54" t="e">
        <v>#N/A</v>
      </c>
      <c r="M781" s="54" t="s">
        <v>156</v>
      </c>
      <c r="N781" s="54" t="s">
        <v>156</v>
      </c>
      <c r="O781" s="54" t="s">
        <v>156</v>
      </c>
    </row>
    <row r="782" spans="1:15" x14ac:dyDescent="0.35">
      <c r="A782" s="59" t="s">
        <v>185</v>
      </c>
      <c r="B782" s="60">
        <v>44871</v>
      </c>
      <c r="C782" s="54">
        <v>104.64246636070351</v>
      </c>
      <c r="D782" s="54">
        <v>104.64246636070351</v>
      </c>
      <c r="E782"/>
      <c r="F782"/>
      <c r="G782" t="e">
        <v>#N/A</v>
      </c>
      <c r="H782" s="54">
        <v>739</v>
      </c>
      <c r="I782" s="54">
        <v>44</v>
      </c>
      <c r="J782" s="54">
        <v>782</v>
      </c>
      <c r="K782" s="54">
        <v>781</v>
      </c>
      <c r="L782" s="54" t="e">
        <v>#N/A</v>
      </c>
      <c r="M782" s="54" t="s">
        <v>156</v>
      </c>
      <c r="N782" s="54" t="s">
        <v>156</v>
      </c>
      <c r="O782" s="54" t="s">
        <v>156</v>
      </c>
    </row>
    <row r="783" spans="1:15" x14ac:dyDescent="0.35">
      <c r="A783" s="59" t="s">
        <v>185</v>
      </c>
      <c r="B783" s="60">
        <v>44878</v>
      </c>
      <c r="C783" s="54">
        <v>107.24757969626602</v>
      </c>
      <c r="D783" s="54">
        <v>107.24757969626602</v>
      </c>
      <c r="E783"/>
      <c r="F783"/>
      <c r="G783" t="e">
        <v>#N/A</v>
      </c>
      <c r="H783" s="54">
        <v>739</v>
      </c>
      <c r="I783" s="54">
        <v>45</v>
      </c>
      <c r="J783" s="54">
        <v>783</v>
      </c>
      <c r="K783" s="54">
        <v>782</v>
      </c>
      <c r="L783" s="54" t="e">
        <v>#N/A</v>
      </c>
      <c r="M783" s="54" t="s">
        <v>156</v>
      </c>
      <c r="N783" s="54" t="s">
        <v>156</v>
      </c>
      <c r="O783" s="54" t="s">
        <v>156</v>
      </c>
    </row>
    <row r="784" spans="1:15" x14ac:dyDescent="0.35">
      <c r="A784" s="59" t="s">
        <v>185</v>
      </c>
      <c r="B784" s="60">
        <v>44885</v>
      </c>
      <c r="C784" s="54">
        <v>101.97505947297471</v>
      </c>
      <c r="D784" s="54">
        <v>101.97505947297471</v>
      </c>
      <c r="E784"/>
      <c r="F784"/>
      <c r="G784" t="e">
        <v>#N/A</v>
      </c>
      <c r="H784" s="54">
        <v>739</v>
      </c>
      <c r="I784" s="54">
        <v>46</v>
      </c>
      <c r="J784" s="54">
        <v>784</v>
      </c>
      <c r="K784" s="54">
        <v>783</v>
      </c>
      <c r="L784" s="54" t="e">
        <v>#N/A</v>
      </c>
      <c r="M784" s="54" t="s">
        <v>156</v>
      </c>
      <c r="N784" s="54" t="s">
        <v>156</v>
      </c>
      <c r="O784" s="54" t="s">
        <v>156</v>
      </c>
    </row>
    <row r="785" spans="1:15" x14ac:dyDescent="0.35">
      <c r="A785" s="59" t="s">
        <v>185</v>
      </c>
      <c r="B785" s="60">
        <v>44892</v>
      </c>
      <c r="C785" s="54">
        <v>101.74520501437091</v>
      </c>
      <c r="D785" s="54">
        <v>101.74520501437091</v>
      </c>
      <c r="E785"/>
      <c r="F785"/>
      <c r="G785" t="e">
        <v>#N/A</v>
      </c>
      <c r="H785" s="54">
        <v>739</v>
      </c>
      <c r="I785" s="54">
        <v>47</v>
      </c>
      <c r="J785" s="54">
        <v>785</v>
      </c>
      <c r="K785" s="54">
        <v>784</v>
      </c>
      <c r="L785" s="54" t="e">
        <v>#N/A</v>
      </c>
      <c r="M785" s="54" t="s">
        <v>156</v>
      </c>
      <c r="N785" s="54" t="s">
        <v>156</v>
      </c>
      <c r="O785" s="54" t="s">
        <v>156</v>
      </c>
    </row>
    <row r="786" spans="1:15" x14ac:dyDescent="0.35">
      <c r="A786" s="59" t="s">
        <v>185</v>
      </c>
      <c r="B786" s="60">
        <v>44899</v>
      </c>
      <c r="C786" s="54">
        <v>106.25129035262778</v>
      </c>
      <c r="D786" s="54">
        <v>106.25129035262778</v>
      </c>
      <c r="E786"/>
      <c r="F786"/>
      <c r="G786" t="e">
        <v>#N/A</v>
      </c>
      <c r="H786" s="54">
        <v>739</v>
      </c>
      <c r="I786" s="54">
        <v>48</v>
      </c>
      <c r="J786" s="54">
        <v>786</v>
      </c>
      <c r="K786" s="54">
        <v>785</v>
      </c>
      <c r="L786" s="54" t="e">
        <v>#N/A</v>
      </c>
      <c r="M786" s="54" t="s">
        <v>156</v>
      </c>
      <c r="N786" s="54" t="s">
        <v>156</v>
      </c>
      <c r="O786" s="54" t="s">
        <v>156</v>
      </c>
    </row>
    <row r="787" spans="1:15" x14ac:dyDescent="0.35">
      <c r="A787" s="59" t="s">
        <v>185</v>
      </c>
      <c r="B787" s="60">
        <v>44906</v>
      </c>
      <c r="C787" s="54">
        <v>101.11639507293491</v>
      </c>
      <c r="D787" s="54">
        <v>101.11639507293491</v>
      </c>
      <c r="E787"/>
      <c r="F787"/>
      <c r="G787" t="e">
        <v>#N/A</v>
      </c>
      <c r="H787" s="54">
        <v>739</v>
      </c>
      <c r="I787" s="54">
        <v>49</v>
      </c>
      <c r="J787" s="54">
        <v>787</v>
      </c>
      <c r="K787" s="54">
        <v>786</v>
      </c>
      <c r="L787" s="54" t="e">
        <v>#N/A</v>
      </c>
      <c r="M787" s="54" t="s">
        <v>156</v>
      </c>
      <c r="N787" s="54" t="s">
        <v>156</v>
      </c>
      <c r="O787" s="54" t="s">
        <v>156</v>
      </c>
    </row>
    <row r="788" spans="1:15" x14ac:dyDescent="0.35">
      <c r="A788" s="59" t="s">
        <v>185</v>
      </c>
      <c r="B788" s="60">
        <v>44913</v>
      </c>
      <c r="C788" s="54">
        <v>104.73167319785766</v>
      </c>
      <c r="D788" s="54">
        <v>104.73167319785766</v>
      </c>
      <c r="E788"/>
      <c r="F788"/>
      <c r="G788" t="e">
        <v>#N/A</v>
      </c>
      <c r="H788" s="54">
        <v>739</v>
      </c>
      <c r="I788" s="54">
        <v>50</v>
      </c>
      <c r="J788" s="54">
        <v>788</v>
      </c>
      <c r="K788" s="54">
        <v>787</v>
      </c>
      <c r="L788" s="54" t="e">
        <v>#N/A</v>
      </c>
      <c r="M788" s="54" t="s">
        <v>156</v>
      </c>
      <c r="N788" s="54" t="s">
        <v>156</v>
      </c>
      <c r="O788" s="54" t="s">
        <v>156</v>
      </c>
    </row>
    <row r="789" spans="1:15" x14ac:dyDescent="0.35">
      <c r="A789" s="59" t="s">
        <v>185</v>
      </c>
      <c r="B789" s="60">
        <v>44920</v>
      </c>
      <c r="C789" s="54">
        <v>101.40929883334559</v>
      </c>
      <c r="D789" s="54">
        <v>101.40929883334559</v>
      </c>
      <c r="E789"/>
      <c r="F789"/>
      <c r="G789" t="e">
        <v>#N/A</v>
      </c>
      <c r="H789" s="54">
        <v>739</v>
      </c>
      <c r="I789" s="54">
        <v>51</v>
      </c>
      <c r="J789" s="54">
        <v>789</v>
      </c>
      <c r="K789" s="54">
        <v>788</v>
      </c>
      <c r="L789" s="54" t="e">
        <v>#N/A</v>
      </c>
      <c r="M789" s="54" t="s">
        <v>156</v>
      </c>
      <c r="N789" s="54" t="s">
        <v>156</v>
      </c>
      <c r="O789" s="54" t="s">
        <v>156</v>
      </c>
    </row>
    <row r="790" spans="1:15" x14ac:dyDescent="0.35">
      <c r="A790" s="59" t="s">
        <v>185</v>
      </c>
      <c r="B790" s="60">
        <v>44927</v>
      </c>
      <c r="C790" s="54">
        <v>101.35146185972347</v>
      </c>
      <c r="D790" s="54">
        <v>101.35146185972347</v>
      </c>
      <c r="E790"/>
      <c r="F790"/>
      <c r="G790" t="e">
        <v>#N/A</v>
      </c>
      <c r="H790" s="54">
        <v>739</v>
      </c>
      <c r="I790" s="54">
        <v>52</v>
      </c>
      <c r="J790" s="54">
        <v>790</v>
      </c>
      <c r="K790" s="54">
        <v>789</v>
      </c>
      <c r="L790" s="54" t="e">
        <v>#N/A</v>
      </c>
      <c r="M790" s="54" t="s">
        <v>156</v>
      </c>
      <c r="N790" s="54" t="s">
        <v>156</v>
      </c>
      <c r="O790" s="54" t="s">
        <v>156</v>
      </c>
    </row>
    <row r="791" spans="1:15" x14ac:dyDescent="0.35">
      <c r="A791" s="59" t="s">
        <v>185</v>
      </c>
      <c r="B791" s="60">
        <v>44934</v>
      </c>
      <c r="C791" s="54">
        <v>101.17576633293571</v>
      </c>
      <c r="D791" s="54">
        <v>101.17576633293571</v>
      </c>
      <c r="E791"/>
      <c r="F791"/>
      <c r="G791" t="e">
        <v>#N/A</v>
      </c>
      <c r="H791" s="54">
        <v>739</v>
      </c>
      <c r="I791" s="54">
        <v>53</v>
      </c>
      <c r="J791" s="54">
        <v>791</v>
      </c>
      <c r="K791" s="54">
        <v>790</v>
      </c>
      <c r="L791" s="54" t="e">
        <v>#N/A</v>
      </c>
      <c r="M791" s="54" t="s">
        <v>156</v>
      </c>
      <c r="N791" s="54" t="s">
        <v>156</v>
      </c>
      <c r="O791" s="54" t="s">
        <v>156</v>
      </c>
    </row>
    <row r="792" spans="1:15" x14ac:dyDescent="0.35">
      <c r="A792" s="59" t="s">
        <v>185</v>
      </c>
      <c r="B792" s="60">
        <v>44941</v>
      </c>
      <c r="C792" s="54">
        <v>101.21450287730524</v>
      </c>
      <c r="D792" s="54">
        <v>101.21450287730524</v>
      </c>
      <c r="E792"/>
      <c r="F792"/>
      <c r="G792" t="e">
        <v>#N/A</v>
      </c>
      <c r="H792" s="54">
        <v>739</v>
      </c>
      <c r="I792" s="54">
        <v>54</v>
      </c>
      <c r="J792" s="54">
        <v>792</v>
      </c>
      <c r="K792" s="54">
        <v>791</v>
      </c>
      <c r="L792" s="54" t="e">
        <v>#N/A</v>
      </c>
      <c r="M792" s="54" t="s">
        <v>156</v>
      </c>
      <c r="N792" s="54" t="s">
        <v>156</v>
      </c>
      <c r="O792" s="54" t="s">
        <v>156</v>
      </c>
    </row>
    <row r="793" spans="1:15" x14ac:dyDescent="0.35">
      <c r="A793" s="59" t="s">
        <v>185</v>
      </c>
      <c r="B793" s="60">
        <v>44948</v>
      </c>
      <c r="C793" s="54">
        <v>101.25404536020784</v>
      </c>
      <c r="D793" s="54">
        <v>101.25404536020784</v>
      </c>
      <c r="E793"/>
      <c r="F793"/>
      <c r="G793" t="e">
        <v>#N/A</v>
      </c>
      <c r="H793" s="54">
        <v>739</v>
      </c>
      <c r="I793" s="54">
        <v>55</v>
      </c>
      <c r="J793" s="54">
        <v>793</v>
      </c>
      <c r="K793" s="54">
        <v>792</v>
      </c>
      <c r="L793" s="54" t="e">
        <v>#N/A</v>
      </c>
      <c r="M793" s="54" t="s">
        <v>156</v>
      </c>
      <c r="N793" s="54" t="s">
        <v>156</v>
      </c>
      <c r="O793" s="54" t="s">
        <v>156</v>
      </c>
    </row>
    <row r="794" spans="1:15" x14ac:dyDescent="0.35">
      <c r="A794" s="59" t="s">
        <v>185</v>
      </c>
      <c r="B794" s="60">
        <v>44955</v>
      </c>
      <c r="C794" s="54">
        <v>101.29441395596538</v>
      </c>
      <c r="D794" s="54">
        <v>101.29441395596538</v>
      </c>
      <c r="E794"/>
      <c r="F794"/>
      <c r="G794" t="e">
        <v>#N/A</v>
      </c>
      <c r="H794" s="54">
        <v>739</v>
      </c>
      <c r="I794" s="54">
        <v>56</v>
      </c>
      <c r="J794" s="54">
        <v>794</v>
      </c>
      <c r="K794" s="54">
        <v>793</v>
      </c>
      <c r="L794" s="54" t="e">
        <v>#N/A</v>
      </c>
      <c r="M794" s="54" t="s">
        <v>156</v>
      </c>
      <c r="N794" s="54" t="s">
        <v>156</v>
      </c>
      <c r="O794" s="54" t="s">
        <v>156</v>
      </c>
    </row>
    <row r="795" spans="1:15" x14ac:dyDescent="0.35">
      <c r="A795" s="59" t="s">
        <v>185</v>
      </c>
      <c r="B795" s="60">
        <v>44962</v>
      </c>
      <c r="C795" s="54">
        <v>101.33562612814355</v>
      </c>
      <c r="D795" s="54">
        <v>101.33562612814355</v>
      </c>
      <c r="E795"/>
      <c r="F795"/>
      <c r="G795" t="e">
        <v>#N/A</v>
      </c>
      <c r="H795" s="54">
        <v>739</v>
      </c>
      <c r="I795" s="54">
        <v>57</v>
      </c>
      <c r="J795" s="54">
        <v>795</v>
      </c>
      <c r="K795" s="54">
        <v>794</v>
      </c>
      <c r="L795" s="54" t="e">
        <v>#N/A</v>
      </c>
      <c r="M795" s="54" t="s">
        <v>156</v>
      </c>
      <c r="N795" s="54" t="s">
        <v>156</v>
      </c>
      <c r="O795" s="54" t="s">
        <v>156</v>
      </c>
    </row>
    <row r="796" spans="1:15" x14ac:dyDescent="0.35">
      <c r="A796" s="59" t="s">
        <v>185</v>
      </c>
      <c r="B796" s="60">
        <v>44969</v>
      </c>
      <c r="C796" s="54">
        <v>101.37769813328137</v>
      </c>
      <c r="D796" s="54">
        <v>101.37769813328137</v>
      </c>
      <c r="E796"/>
      <c r="F796"/>
      <c r="G796" t="e">
        <v>#N/A</v>
      </c>
      <c r="H796" s="54">
        <v>739</v>
      </c>
      <c r="I796" s="54">
        <v>58</v>
      </c>
      <c r="J796" s="54">
        <v>796</v>
      </c>
      <c r="K796" s="54">
        <v>795</v>
      </c>
      <c r="L796" s="54" t="e">
        <v>#N/A</v>
      </c>
      <c r="M796" s="54" t="s">
        <v>156</v>
      </c>
      <c r="N796" s="54" t="s">
        <v>156</v>
      </c>
      <c r="O796" s="54" t="s">
        <v>156</v>
      </c>
    </row>
    <row r="797" spans="1:15" x14ac:dyDescent="0.35">
      <c r="A797" s="59" t="s">
        <v>185</v>
      </c>
      <c r="B797" s="60">
        <v>44976</v>
      </c>
      <c r="C797" s="54">
        <v>101.42065199418941</v>
      </c>
      <c r="D797" s="54">
        <v>101.42065199418941</v>
      </c>
      <c r="E797"/>
      <c r="F797"/>
      <c r="G797" t="e">
        <v>#N/A</v>
      </c>
      <c r="H797" s="54">
        <v>739</v>
      </c>
      <c r="I797" s="54">
        <v>59</v>
      </c>
      <c r="J797" s="54">
        <v>797</v>
      </c>
      <c r="K797" s="54">
        <v>796</v>
      </c>
      <c r="L797" s="54" t="e">
        <v>#N/A</v>
      </c>
      <c r="M797" s="54" t="s">
        <v>156</v>
      </c>
      <c r="N797" s="54" t="s">
        <v>156</v>
      </c>
      <c r="O797" s="54" t="s">
        <v>156</v>
      </c>
    </row>
    <row r="798" spans="1:15" x14ac:dyDescent="0.35">
      <c r="A798" s="59" t="s">
        <v>185</v>
      </c>
      <c r="B798" s="60">
        <v>44983</v>
      </c>
      <c r="C798" s="54">
        <v>101.46456772257676</v>
      </c>
      <c r="D798" s="54">
        <v>101.46456772257676</v>
      </c>
      <c r="E798"/>
      <c r="F798"/>
      <c r="G798" t="e">
        <v>#N/A</v>
      </c>
      <c r="H798" s="54">
        <v>739</v>
      </c>
      <c r="I798" s="54">
        <v>60</v>
      </c>
      <c r="J798" s="54">
        <v>798</v>
      </c>
      <c r="K798" s="54">
        <v>797</v>
      </c>
      <c r="L798" s="54" t="e">
        <v>#N/A</v>
      </c>
      <c r="M798" s="54" t="s">
        <v>156</v>
      </c>
      <c r="N798" s="54" t="s">
        <v>156</v>
      </c>
      <c r="O798" s="54" t="s">
        <v>156</v>
      </c>
    </row>
    <row r="799" spans="1:15" x14ac:dyDescent="0.35">
      <c r="A799" s="59" t="s">
        <v>185</v>
      </c>
      <c r="B799" s="60">
        <v>44990</v>
      </c>
      <c r="C799" s="54">
        <v>101.57213673361188</v>
      </c>
      <c r="D799" s="54">
        <v>101.57213673361188</v>
      </c>
      <c r="E799"/>
      <c r="F799"/>
      <c r="G799" t="e">
        <v>#N/A</v>
      </c>
      <c r="H799" s="54">
        <v>739</v>
      </c>
      <c r="I799" s="54">
        <v>61</v>
      </c>
      <c r="J799" s="54">
        <v>799</v>
      </c>
      <c r="K799" s="54">
        <v>798</v>
      </c>
      <c r="L799" s="54" t="e">
        <v>#N/A</v>
      </c>
      <c r="M799" s="54" t="s">
        <v>156</v>
      </c>
      <c r="N799" s="54" t="s">
        <v>156</v>
      </c>
      <c r="O799" s="54" t="s">
        <v>156</v>
      </c>
    </row>
    <row r="800" spans="1:15" x14ac:dyDescent="0.35">
      <c r="A800" s="59" t="s">
        <v>185</v>
      </c>
      <c r="B800" s="60">
        <v>44997</v>
      </c>
      <c r="C800" s="54">
        <v>101.55879481279756</v>
      </c>
      <c r="D800" s="54">
        <v>101.55879481279756</v>
      </c>
      <c r="E800"/>
      <c r="F800"/>
      <c r="G800" t="e">
        <v>#N/A</v>
      </c>
      <c r="H800" s="54">
        <v>739</v>
      </c>
      <c r="I800" s="54">
        <v>62</v>
      </c>
      <c r="J800" s="54">
        <v>800</v>
      </c>
      <c r="K800" s="54">
        <v>799</v>
      </c>
      <c r="L800" s="54" t="e">
        <v>#N/A</v>
      </c>
      <c r="M800" s="54" t="s">
        <v>156</v>
      </c>
      <c r="N800" s="54" t="s">
        <v>156</v>
      </c>
      <c r="O800" s="54" t="s">
        <v>156</v>
      </c>
    </row>
    <row r="801" spans="1:15" x14ac:dyDescent="0.35">
      <c r="A801" s="59" t="s">
        <v>185</v>
      </c>
      <c r="B801" s="60">
        <v>45004</v>
      </c>
      <c r="C801" s="54">
        <v>101.65946685810322</v>
      </c>
      <c r="D801" s="54">
        <v>101.65946685810322</v>
      </c>
      <c r="E801"/>
      <c r="F801"/>
      <c r="G801" t="e">
        <v>#N/A</v>
      </c>
      <c r="H801" s="54">
        <v>739</v>
      </c>
      <c r="I801" s="54">
        <v>63</v>
      </c>
      <c r="J801" s="54">
        <v>801</v>
      </c>
      <c r="K801" s="54">
        <v>800</v>
      </c>
      <c r="L801" s="54" t="e">
        <v>#N/A</v>
      </c>
      <c r="M801" s="54" t="s">
        <v>156</v>
      </c>
      <c r="N801" s="54" t="s">
        <v>156</v>
      </c>
      <c r="O801" s="54" t="s">
        <v>156</v>
      </c>
    </row>
    <row r="802" spans="1:15" x14ac:dyDescent="0.35">
      <c r="A802" s="59" t="s">
        <v>185</v>
      </c>
      <c r="B802" s="60">
        <v>45011</v>
      </c>
      <c r="C802" s="54">
        <v>105.81885251126258</v>
      </c>
      <c r="D802" s="54">
        <v>105.81885251126258</v>
      </c>
      <c r="E802"/>
      <c r="F802"/>
      <c r="G802" t="e">
        <v>#N/A</v>
      </c>
      <c r="H802" s="54">
        <v>739</v>
      </c>
      <c r="I802" s="54">
        <v>64</v>
      </c>
      <c r="J802" s="54">
        <v>802</v>
      </c>
      <c r="K802" s="54">
        <v>801</v>
      </c>
      <c r="L802" s="54" t="e">
        <v>#N/A</v>
      </c>
      <c r="M802" s="54" t="s">
        <v>156</v>
      </c>
      <c r="N802" s="54" t="s">
        <v>156</v>
      </c>
      <c r="O802" s="54" t="s">
        <v>156</v>
      </c>
    </row>
    <row r="803" spans="1:15" x14ac:dyDescent="0.35">
      <c r="A803" s="59" t="s">
        <v>185</v>
      </c>
      <c r="B803" s="60">
        <v>45018</v>
      </c>
      <c r="C803" s="54">
        <v>101.73687116145858</v>
      </c>
      <c r="D803" s="54">
        <v>101.73687116145858</v>
      </c>
      <c r="E803"/>
      <c r="F803"/>
      <c r="G803" t="e">
        <v>#N/A</v>
      </c>
      <c r="H803" s="54">
        <v>739</v>
      </c>
      <c r="I803" s="54">
        <v>65</v>
      </c>
      <c r="J803" s="54">
        <v>803</v>
      </c>
      <c r="K803" s="54">
        <v>802</v>
      </c>
      <c r="L803" s="54" t="e">
        <v>#N/A</v>
      </c>
      <c r="M803" s="54" t="s">
        <v>156</v>
      </c>
      <c r="N803" s="54" t="s">
        <v>156</v>
      </c>
      <c r="O803" s="54" t="s">
        <v>156</v>
      </c>
    </row>
    <row r="804" spans="1:15" x14ac:dyDescent="0.35">
      <c r="A804" s="59" t="s">
        <v>185</v>
      </c>
      <c r="B804" s="60">
        <v>45025</v>
      </c>
      <c r="C804" s="54">
        <v>102.2486151164989</v>
      </c>
      <c r="D804" s="54">
        <v>102.2486151164989</v>
      </c>
      <c r="E804"/>
      <c r="F804"/>
      <c r="G804" t="e">
        <v>#N/A</v>
      </c>
      <c r="H804" s="54">
        <v>739</v>
      </c>
      <c r="I804" s="54">
        <v>66</v>
      </c>
      <c r="J804" s="54">
        <v>804</v>
      </c>
      <c r="K804" s="54">
        <v>803</v>
      </c>
      <c r="L804" s="54" t="e">
        <v>#N/A</v>
      </c>
      <c r="M804" s="54" t="s">
        <v>156</v>
      </c>
      <c r="N804" s="54" t="s">
        <v>156</v>
      </c>
      <c r="O804" s="54" t="s">
        <v>156</v>
      </c>
    </row>
    <row r="805" spans="1:15" x14ac:dyDescent="0.35">
      <c r="A805" s="59" t="s">
        <v>185</v>
      </c>
      <c r="B805" s="60">
        <v>45032</v>
      </c>
      <c r="C805" s="54">
        <v>104.74130934811126</v>
      </c>
      <c r="D805" s="54">
        <v>104.74130934811126</v>
      </c>
      <c r="E805"/>
      <c r="F805"/>
      <c r="G805" t="e">
        <v>#N/A</v>
      </c>
      <c r="H805" s="54">
        <v>739</v>
      </c>
      <c r="I805" s="54">
        <v>67</v>
      </c>
      <c r="J805" s="54">
        <v>805</v>
      </c>
      <c r="K805" s="54">
        <v>804</v>
      </c>
      <c r="L805" s="54" t="e">
        <v>#N/A</v>
      </c>
      <c r="M805" s="54" t="s">
        <v>156</v>
      </c>
      <c r="N805" s="54" t="s">
        <v>156</v>
      </c>
      <c r="O805" s="54" t="s">
        <v>156</v>
      </c>
    </row>
    <row r="806" spans="1:15" x14ac:dyDescent="0.35">
      <c r="A806" s="59" t="s">
        <v>185</v>
      </c>
      <c r="B806" s="60">
        <v>45039</v>
      </c>
      <c r="C806" s="54">
        <v>114.33705471461651</v>
      </c>
      <c r="D806" s="54">
        <v>114.33705471461651</v>
      </c>
      <c r="E806"/>
      <c r="F806"/>
      <c r="G806" t="e">
        <v>#N/A</v>
      </c>
      <c r="H806" s="54">
        <v>739</v>
      </c>
      <c r="I806" s="54">
        <v>68</v>
      </c>
      <c r="J806" s="54">
        <v>806</v>
      </c>
      <c r="K806" s="54">
        <v>805</v>
      </c>
      <c r="L806" s="54" t="e">
        <v>#N/A</v>
      </c>
      <c r="M806" s="54" t="s">
        <v>156</v>
      </c>
      <c r="N806" s="54" t="s">
        <v>156</v>
      </c>
      <c r="O806" s="54" t="s">
        <v>156</v>
      </c>
    </row>
    <row r="807" spans="1:15" x14ac:dyDescent="0.35">
      <c r="A807" s="59" t="s">
        <v>185</v>
      </c>
      <c r="B807" s="60">
        <v>45046</v>
      </c>
      <c r="C807" s="54">
        <v>128.89334529657444</v>
      </c>
      <c r="D807" s="54">
        <v>128.89334529657444</v>
      </c>
      <c r="E807"/>
      <c r="F807"/>
      <c r="G807" t="e">
        <v>#N/A</v>
      </c>
      <c r="H807" s="54">
        <v>739</v>
      </c>
      <c r="I807" s="54">
        <v>69</v>
      </c>
      <c r="J807" s="54">
        <v>807</v>
      </c>
      <c r="K807" s="54">
        <v>806</v>
      </c>
      <c r="L807" s="54" t="e">
        <v>#N/A</v>
      </c>
      <c r="M807" s="54" t="s">
        <v>156</v>
      </c>
      <c r="N807" s="54" t="s">
        <v>156</v>
      </c>
      <c r="O807" s="54" t="s">
        <v>156</v>
      </c>
    </row>
    <row r="808" spans="1:15" x14ac:dyDescent="0.35">
      <c r="A808" s="59" t="s">
        <v>185</v>
      </c>
      <c r="B808" s="60">
        <v>45053</v>
      </c>
      <c r="C808" s="54">
        <v>114.33000728919878</v>
      </c>
      <c r="D808" s="54">
        <v>114.33000728919878</v>
      </c>
      <c r="E808"/>
      <c r="F808"/>
      <c r="G808" t="e">
        <v>#N/A</v>
      </c>
      <c r="H808" s="54">
        <v>739</v>
      </c>
      <c r="I808" s="54">
        <v>70</v>
      </c>
      <c r="J808" s="54">
        <v>808</v>
      </c>
      <c r="K808" s="54">
        <v>807</v>
      </c>
      <c r="L808" s="54" t="e">
        <v>#N/A</v>
      </c>
      <c r="M808" s="54" t="s">
        <v>156</v>
      </c>
      <c r="N808" s="54" t="s">
        <v>156</v>
      </c>
      <c r="O808" s="54" t="s">
        <v>156</v>
      </c>
    </row>
    <row r="809" spans="1:15" x14ac:dyDescent="0.35">
      <c r="A809" s="59" t="s">
        <v>185</v>
      </c>
      <c r="B809" s="60">
        <v>45060</v>
      </c>
      <c r="C809" s="54">
        <v>123.95097580515976</v>
      </c>
      <c r="D809" s="54">
        <v>123.95097580515976</v>
      </c>
      <c r="E809"/>
      <c r="F809"/>
      <c r="G809" t="e">
        <v>#N/A</v>
      </c>
      <c r="H809" s="54">
        <v>739</v>
      </c>
      <c r="I809" s="54">
        <v>71</v>
      </c>
      <c r="J809" s="54">
        <v>809</v>
      </c>
      <c r="K809" s="54">
        <v>808</v>
      </c>
      <c r="L809" s="54" t="e">
        <v>#N/A</v>
      </c>
      <c r="M809" s="54" t="s">
        <v>156</v>
      </c>
      <c r="N809" s="54" t="s">
        <v>156</v>
      </c>
      <c r="O809" s="54" t="s">
        <v>156</v>
      </c>
    </row>
    <row r="810" spans="1:15" x14ac:dyDescent="0.35">
      <c r="A810" s="59" t="s">
        <v>185</v>
      </c>
      <c r="B810" s="60">
        <v>45067</v>
      </c>
      <c r="C810" s="54">
        <v>138.37933011886241</v>
      </c>
      <c r="D810" s="54">
        <v>138.37933011886241</v>
      </c>
      <c r="E810"/>
      <c r="F810"/>
      <c r="G810" t="e">
        <v>#N/A</v>
      </c>
      <c r="H810" s="54">
        <v>739</v>
      </c>
      <c r="I810" s="54">
        <v>72</v>
      </c>
      <c r="J810" s="54">
        <v>810</v>
      </c>
      <c r="K810" s="54">
        <v>809</v>
      </c>
      <c r="L810" s="54" t="e">
        <v>#N/A</v>
      </c>
      <c r="M810" s="54" t="s">
        <v>156</v>
      </c>
      <c r="N810" s="54" t="s">
        <v>156</v>
      </c>
      <c r="O810" s="54" t="s">
        <v>156</v>
      </c>
    </row>
    <row r="811" spans="1:15" x14ac:dyDescent="0.35">
      <c r="A811" s="59" t="s">
        <v>185</v>
      </c>
      <c r="B811" s="60">
        <v>45074</v>
      </c>
      <c r="C811" s="54">
        <v>125.06438072558231</v>
      </c>
      <c r="D811" s="54">
        <v>125.06438072558231</v>
      </c>
      <c r="E811"/>
      <c r="F811"/>
      <c r="G811" t="e">
        <v>#N/A</v>
      </c>
      <c r="H811" s="54">
        <v>739</v>
      </c>
      <c r="I811" s="54">
        <v>73</v>
      </c>
      <c r="J811" s="54">
        <v>811</v>
      </c>
      <c r="K811" s="54">
        <v>810</v>
      </c>
      <c r="L811" s="54" t="e">
        <v>#N/A</v>
      </c>
      <c r="M811" s="54" t="s">
        <v>156</v>
      </c>
      <c r="N811" s="54" t="s">
        <v>156</v>
      </c>
      <c r="O811" s="54" t="s">
        <v>156</v>
      </c>
    </row>
    <row r="812" spans="1:15" x14ac:dyDescent="0.35">
      <c r="A812" s="59" t="s">
        <v>185</v>
      </c>
      <c r="B812" s="60">
        <v>45081</v>
      </c>
      <c r="C812" s="54">
        <v>113.62318284495568</v>
      </c>
      <c r="D812" s="54">
        <v>113.62318284495568</v>
      </c>
      <c r="E812"/>
      <c r="F812"/>
      <c r="G812" t="e">
        <v>#N/A</v>
      </c>
      <c r="H812" s="54">
        <v>739</v>
      </c>
      <c r="I812" s="54">
        <v>74</v>
      </c>
      <c r="J812" s="54">
        <v>812</v>
      </c>
      <c r="K812" s="54">
        <v>811</v>
      </c>
      <c r="L812" s="54" t="e">
        <v>#N/A</v>
      </c>
      <c r="M812" s="54" t="s">
        <v>156</v>
      </c>
      <c r="N812" s="54" t="s">
        <v>156</v>
      </c>
      <c r="O812" s="54" t="s">
        <v>156</v>
      </c>
    </row>
    <row r="813" spans="1:15" x14ac:dyDescent="0.35">
      <c r="A813" s="59" t="s">
        <v>185</v>
      </c>
      <c r="B813" s="60">
        <v>45088</v>
      </c>
      <c r="C813" s="54">
        <v>106.90450353992239</v>
      </c>
      <c r="D813" s="54">
        <v>106.90450353992239</v>
      </c>
      <c r="E813"/>
      <c r="F813"/>
      <c r="G813" t="e">
        <v>#N/A</v>
      </c>
      <c r="H813" s="54">
        <v>739</v>
      </c>
      <c r="I813" s="54">
        <v>75</v>
      </c>
      <c r="J813" s="54">
        <v>813</v>
      </c>
      <c r="K813" s="54">
        <v>812</v>
      </c>
      <c r="L813" s="54" t="e">
        <v>#N/A</v>
      </c>
      <c r="M813" s="54" t="s">
        <v>156</v>
      </c>
      <c r="N813" s="54" t="s">
        <v>156</v>
      </c>
      <c r="O813" s="54" t="s">
        <v>156</v>
      </c>
    </row>
    <row r="814" spans="1:15" x14ac:dyDescent="0.35">
      <c r="A814" s="59" t="s">
        <v>185</v>
      </c>
      <c r="B814" s="60">
        <v>45095</v>
      </c>
      <c r="C814" s="54">
        <v>132.70280184667905</v>
      </c>
      <c r="D814" s="54">
        <v>132.70280184667905</v>
      </c>
      <c r="E814"/>
      <c r="F814"/>
      <c r="G814" t="e">
        <v>#N/A</v>
      </c>
      <c r="H814" s="54">
        <v>739</v>
      </c>
      <c r="I814" s="54">
        <v>76</v>
      </c>
      <c r="J814" s="54">
        <v>814</v>
      </c>
      <c r="K814" s="54">
        <v>813</v>
      </c>
      <c r="L814" s="54" t="e">
        <v>#N/A</v>
      </c>
      <c r="M814" s="54" t="s">
        <v>156</v>
      </c>
      <c r="N814" s="54" t="s">
        <v>156</v>
      </c>
      <c r="O814" s="54" t="s">
        <v>156</v>
      </c>
    </row>
    <row r="815" spans="1:15" x14ac:dyDescent="0.35">
      <c r="A815" s="59" t="s">
        <v>185</v>
      </c>
      <c r="B815" s="60">
        <v>45102</v>
      </c>
      <c r="C815" s="54">
        <v>112.6301465479868</v>
      </c>
      <c r="D815" s="54">
        <v>112.6301465479868</v>
      </c>
      <c r="E815"/>
      <c r="F815"/>
      <c r="G815" t="e">
        <v>#N/A</v>
      </c>
      <c r="H815" s="54">
        <v>739</v>
      </c>
      <c r="I815" s="54">
        <v>77</v>
      </c>
      <c r="J815" s="54">
        <v>815</v>
      </c>
      <c r="K815" s="54">
        <v>814</v>
      </c>
      <c r="L815" s="54" t="e">
        <v>#N/A</v>
      </c>
      <c r="M815" s="54" t="s">
        <v>156</v>
      </c>
      <c r="N815" s="54" t="s">
        <v>156</v>
      </c>
      <c r="O815" s="54" t="s">
        <v>156</v>
      </c>
    </row>
    <row r="816" spans="1:15" x14ac:dyDescent="0.35">
      <c r="A816" s="59" t="s">
        <v>185</v>
      </c>
      <c r="B816" s="60">
        <v>45109</v>
      </c>
      <c r="C816" s="54">
        <v>108.19840626662169</v>
      </c>
      <c r="D816" s="54">
        <v>108.19840626662169</v>
      </c>
      <c r="E816"/>
      <c r="F816"/>
      <c r="G816" t="e">
        <v>#N/A</v>
      </c>
      <c r="H816" s="54">
        <v>739</v>
      </c>
      <c r="I816" s="54">
        <v>78</v>
      </c>
      <c r="J816" s="54">
        <v>816</v>
      </c>
      <c r="K816" s="54">
        <v>815</v>
      </c>
      <c r="L816" s="54" t="e">
        <v>#N/A</v>
      </c>
      <c r="M816" s="54" t="s">
        <v>156</v>
      </c>
      <c r="N816" s="54" t="s">
        <v>156</v>
      </c>
      <c r="O816" s="54" t="s">
        <v>156</v>
      </c>
    </row>
    <row r="817" spans="1:15" x14ac:dyDescent="0.35">
      <c r="A817" s="59" t="s">
        <v>185</v>
      </c>
      <c r="B817" s="60">
        <v>45116</v>
      </c>
      <c r="C817" s="54">
        <v>103.57266883684156</v>
      </c>
      <c r="D817" s="54">
        <v>103.57266883684156</v>
      </c>
      <c r="E817"/>
      <c r="F817"/>
      <c r="G817" t="e">
        <v>#N/A</v>
      </c>
      <c r="H817" s="54">
        <v>739</v>
      </c>
      <c r="I817" s="54">
        <v>79</v>
      </c>
      <c r="J817" s="54">
        <v>817</v>
      </c>
      <c r="K817" s="54">
        <v>816</v>
      </c>
      <c r="L817" s="54" t="e">
        <v>#N/A</v>
      </c>
      <c r="M817" s="54" t="s">
        <v>156</v>
      </c>
      <c r="N817" s="54" t="s">
        <v>156</v>
      </c>
      <c r="O817" s="54" t="s">
        <v>156</v>
      </c>
    </row>
    <row r="818" spans="1:15" x14ac:dyDescent="0.35">
      <c r="A818" s="59" t="s">
        <v>185</v>
      </c>
      <c r="B818" s="60">
        <v>45123</v>
      </c>
      <c r="C818" s="54">
        <v>102.7255427652817</v>
      </c>
      <c r="D818" s="54">
        <v>102.7255427652817</v>
      </c>
      <c r="E818"/>
      <c r="F818"/>
      <c r="G818" t="e">
        <v>#N/A</v>
      </c>
      <c r="H818" s="54">
        <v>739</v>
      </c>
      <c r="I818" s="54">
        <v>80</v>
      </c>
      <c r="J818" s="54">
        <v>818</v>
      </c>
      <c r="K818" s="54">
        <v>817</v>
      </c>
      <c r="L818" s="54" t="e">
        <v>#N/A</v>
      </c>
      <c r="M818" s="54" t="s">
        <v>156</v>
      </c>
      <c r="N818" s="54" t="s">
        <v>156</v>
      </c>
      <c r="O818" s="54" t="s">
        <v>156</v>
      </c>
    </row>
    <row r="819" spans="1:15" x14ac:dyDescent="0.35">
      <c r="A819" s="59" t="s">
        <v>185</v>
      </c>
      <c r="B819" s="60">
        <v>45130</v>
      </c>
      <c r="C819" s="54">
        <v>109.66572280609077</v>
      </c>
      <c r="D819" s="54">
        <v>109.66572280609077</v>
      </c>
      <c r="E819"/>
      <c r="F819"/>
      <c r="G819" t="e">
        <v>#N/A</v>
      </c>
      <c r="H819" s="54">
        <v>739</v>
      </c>
      <c r="I819" s="54">
        <v>81</v>
      </c>
      <c r="J819" s="54">
        <v>819</v>
      </c>
      <c r="K819" s="54">
        <v>818</v>
      </c>
      <c r="L819" s="54" t="e">
        <v>#N/A</v>
      </c>
      <c r="M819" s="54" t="s">
        <v>156</v>
      </c>
      <c r="N819" s="54" t="s">
        <v>156</v>
      </c>
      <c r="O819" s="54" t="s">
        <v>156</v>
      </c>
    </row>
    <row r="820" spans="1:15" x14ac:dyDescent="0.35">
      <c r="A820" s="59" t="s">
        <v>185</v>
      </c>
      <c r="B820" s="60">
        <v>45137</v>
      </c>
      <c r="C820" s="54">
        <v>103.55611399032104</v>
      </c>
      <c r="D820" s="54">
        <v>103.55611399032104</v>
      </c>
      <c r="E820"/>
      <c r="F820"/>
      <c r="G820" t="e">
        <v>#N/A</v>
      </c>
      <c r="H820" s="54">
        <v>739</v>
      </c>
      <c r="I820" s="54">
        <v>82</v>
      </c>
      <c r="J820" s="54">
        <v>820</v>
      </c>
      <c r="K820" s="54">
        <v>819</v>
      </c>
      <c r="L820" s="54" t="e">
        <v>#N/A</v>
      </c>
      <c r="M820" s="54" t="s">
        <v>156</v>
      </c>
      <c r="N820" s="54" t="s">
        <v>156</v>
      </c>
      <c r="O820" s="54" t="s">
        <v>156</v>
      </c>
    </row>
    <row r="821" spans="1:15" x14ac:dyDescent="0.35">
      <c r="A821" s="59" t="s">
        <v>185</v>
      </c>
      <c r="B821" s="60">
        <v>45144</v>
      </c>
      <c r="C821" s="54">
        <v>104.72787372001767</v>
      </c>
      <c r="D821" s="54">
        <v>104.72787372001767</v>
      </c>
      <c r="E821"/>
      <c r="F821"/>
      <c r="G821" t="e">
        <v>#N/A</v>
      </c>
      <c r="H821" s="54">
        <v>739</v>
      </c>
      <c r="I821" s="54">
        <v>83</v>
      </c>
      <c r="J821" s="54">
        <v>821</v>
      </c>
      <c r="K821" s="54">
        <v>820</v>
      </c>
      <c r="L821" s="54" t="e">
        <v>#N/A</v>
      </c>
      <c r="M821" s="54" t="s">
        <v>156</v>
      </c>
      <c r="N821" s="54" t="s">
        <v>156</v>
      </c>
      <c r="O821" s="54" t="s">
        <v>156</v>
      </c>
    </row>
    <row r="822" spans="1:15" x14ac:dyDescent="0.35">
      <c r="A822" s="59" t="s">
        <v>185</v>
      </c>
      <c r="B822" s="60">
        <v>45151</v>
      </c>
      <c r="C822" s="54">
        <v>106.19981740816819</v>
      </c>
      <c r="D822" s="54">
        <v>106.19981740816819</v>
      </c>
      <c r="E822"/>
      <c r="F822"/>
      <c r="G822" t="e">
        <v>#N/A</v>
      </c>
      <c r="H822" s="54">
        <v>739</v>
      </c>
      <c r="I822" s="54">
        <v>84</v>
      </c>
      <c r="J822" s="54">
        <v>822</v>
      </c>
      <c r="K822" s="54">
        <v>821</v>
      </c>
      <c r="L822" s="54" t="e">
        <v>#N/A</v>
      </c>
      <c r="M822" s="54" t="s">
        <v>156</v>
      </c>
      <c r="N822" s="54" t="s">
        <v>156</v>
      </c>
      <c r="O822" s="54" t="s">
        <v>156</v>
      </c>
    </row>
    <row r="823" spans="1:15" x14ac:dyDescent="0.35">
      <c r="A823" s="59" t="s">
        <v>185</v>
      </c>
      <c r="B823" s="60">
        <v>45158</v>
      </c>
      <c r="C823" s="54">
        <v>103.44477821376427</v>
      </c>
      <c r="D823" s="54">
        <v>103.44477821376427</v>
      </c>
      <c r="E823"/>
      <c r="F823"/>
      <c r="G823" t="e">
        <v>#N/A</v>
      </c>
      <c r="H823" s="54">
        <v>739</v>
      </c>
      <c r="I823" s="54">
        <v>85</v>
      </c>
      <c r="J823" s="54">
        <v>823</v>
      </c>
      <c r="K823" s="54">
        <v>822</v>
      </c>
      <c r="L823" s="54" t="e">
        <v>#N/A</v>
      </c>
      <c r="M823" s="54" t="s">
        <v>156</v>
      </c>
      <c r="N823" s="54" t="s">
        <v>156</v>
      </c>
      <c r="O823" s="54" t="s">
        <v>156</v>
      </c>
    </row>
    <row r="824" spans="1:15" x14ac:dyDescent="0.35">
      <c r="A824" s="59" t="s">
        <v>185</v>
      </c>
      <c r="B824" s="60">
        <v>45165</v>
      </c>
      <c r="C824" s="54">
        <v>104.85184689395975</v>
      </c>
      <c r="D824" s="54">
        <v>104.85184689395975</v>
      </c>
      <c r="E824"/>
      <c r="F824"/>
      <c r="G824" t="e">
        <v>#N/A</v>
      </c>
      <c r="H824" s="54">
        <v>739</v>
      </c>
      <c r="I824" s="54">
        <v>86</v>
      </c>
      <c r="J824" s="54">
        <v>824</v>
      </c>
      <c r="K824" s="54">
        <v>823</v>
      </c>
      <c r="L824" s="54" t="e">
        <v>#N/A</v>
      </c>
      <c r="M824" s="54" t="s">
        <v>156</v>
      </c>
      <c r="N824" s="54" t="s">
        <v>156</v>
      </c>
      <c r="O824" s="54" t="s">
        <v>156</v>
      </c>
    </row>
    <row r="825" spans="1:15" x14ac:dyDescent="0.35">
      <c r="A825" s="59" t="s">
        <v>185</v>
      </c>
      <c r="B825" s="60">
        <v>45172</v>
      </c>
      <c r="C825" s="54">
        <v>103.36486586334604</v>
      </c>
      <c r="D825" s="54">
        <v>103.36486586334604</v>
      </c>
      <c r="E825"/>
      <c r="F825"/>
      <c r="G825" t="e">
        <v>#N/A</v>
      </c>
      <c r="H825" s="54">
        <v>739</v>
      </c>
      <c r="I825" s="54">
        <v>87</v>
      </c>
      <c r="J825" s="54">
        <v>825</v>
      </c>
      <c r="K825" s="54">
        <v>824</v>
      </c>
      <c r="L825" s="54" t="e">
        <v>#N/A</v>
      </c>
      <c r="M825" s="54" t="s">
        <v>156</v>
      </c>
      <c r="N825" s="54" t="s">
        <v>156</v>
      </c>
      <c r="O825" s="54" t="s">
        <v>156</v>
      </c>
    </row>
    <row r="826" spans="1:15" x14ac:dyDescent="0.35">
      <c r="A826" s="59" t="s">
        <v>185</v>
      </c>
      <c r="B826" s="60">
        <v>45179</v>
      </c>
      <c r="C826" s="54">
        <v>108.00657803868661</v>
      </c>
      <c r="D826" s="54">
        <v>108.00657803868661</v>
      </c>
      <c r="E826"/>
      <c r="F826"/>
      <c r="G826" t="e">
        <v>#N/A</v>
      </c>
      <c r="H826" s="54">
        <v>739</v>
      </c>
      <c r="I826" s="54">
        <v>88</v>
      </c>
      <c r="J826" s="54">
        <v>826</v>
      </c>
      <c r="K826" s="54">
        <v>825</v>
      </c>
      <c r="L826" s="54" t="e">
        <v>#N/A</v>
      </c>
      <c r="M826" s="54" t="s">
        <v>156</v>
      </c>
      <c r="N826" s="54" t="s">
        <v>156</v>
      </c>
      <c r="O826" s="54" t="s">
        <v>156</v>
      </c>
    </row>
    <row r="827" spans="1:15" x14ac:dyDescent="0.35">
      <c r="A827" s="59" t="s">
        <v>185</v>
      </c>
      <c r="B827" s="60">
        <v>45186</v>
      </c>
      <c r="C827" s="54">
        <v>110.58706844350129</v>
      </c>
      <c r="D827" s="54">
        <v>110.58706844350129</v>
      </c>
      <c r="E827"/>
      <c r="F827"/>
      <c r="G827" t="e">
        <v>#N/A</v>
      </c>
      <c r="H827" s="54">
        <v>739</v>
      </c>
      <c r="I827" s="54">
        <v>89</v>
      </c>
      <c r="J827" s="54">
        <v>827</v>
      </c>
      <c r="K827" s="54">
        <v>826</v>
      </c>
      <c r="L827" s="54" t="e">
        <v>#N/A</v>
      </c>
      <c r="M827" s="54" t="s">
        <v>156</v>
      </c>
      <c r="N827" s="54" t="s">
        <v>156</v>
      </c>
      <c r="O827" s="54" t="s">
        <v>156</v>
      </c>
    </row>
    <row r="828" spans="1:15" x14ac:dyDescent="0.35">
      <c r="A828" s="59" t="s">
        <v>185</v>
      </c>
      <c r="B828" s="60">
        <v>45193</v>
      </c>
      <c r="C828" s="54">
        <v>113.20697101537742</v>
      </c>
      <c r="D828" s="54">
        <v>113.20697101537742</v>
      </c>
      <c r="E828"/>
      <c r="F828"/>
      <c r="G828" t="e">
        <v>#N/A</v>
      </c>
      <c r="H828" s="54">
        <v>739</v>
      </c>
      <c r="I828" s="54">
        <v>90</v>
      </c>
      <c r="J828" s="54">
        <v>828</v>
      </c>
      <c r="K828" s="54">
        <v>827</v>
      </c>
      <c r="L828" s="54" t="e">
        <v>#N/A</v>
      </c>
      <c r="M828" s="54" t="s">
        <v>156</v>
      </c>
      <c r="N828" s="54" t="s">
        <v>156</v>
      </c>
      <c r="O828" s="54" t="s">
        <v>156</v>
      </c>
    </row>
    <row r="829" spans="1:15" x14ac:dyDescent="0.35">
      <c r="A829" s="59" t="s">
        <v>185</v>
      </c>
      <c r="B829" s="60">
        <v>45200</v>
      </c>
      <c r="C829" s="54">
        <v>108.87490884222179</v>
      </c>
      <c r="D829" s="54">
        <v>108.87490884222179</v>
      </c>
      <c r="E829"/>
      <c r="F829"/>
      <c r="G829" t="e">
        <v>#N/A</v>
      </c>
      <c r="H829" s="54">
        <v>739</v>
      </c>
      <c r="I829" s="54">
        <v>91</v>
      </c>
      <c r="J829" s="54">
        <v>829</v>
      </c>
      <c r="K829" s="54">
        <v>828</v>
      </c>
      <c r="L829" s="54" t="e">
        <v>#N/A</v>
      </c>
      <c r="M829" s="54" t="s">
        <v>156</v>
      </c>
      <c r="N829" s="54" t="s">
        <v>156</v>
      </c>
      <c r="O829" s="54" t="s">
        <v>156</v>
      </c>
    </row>
    <row r="830" spans="1:15" x14ac:dyDescent="0.35">
      <c r="A830" s="59" t="s">
        <v>185</v>
      </c>
      <c r="B830" s="60">
        <v>45207</v>
      </c>
      <c r="C830" s="54">
        <v>108.5368887483418</v>
      </c>
      <c r="D830" s="54">
        <v>108.5368887483418</v>
      </c>
      <c r="E830"/>
      <c r="F830"/>
      <c r="G830" t="e">
        <v>#N/A</v>
      </c>
      <c r="H830" s="54">
        <v>739</v>
      </c>
      <c r="I830" s="54">
        <v>92</v>
      </c>
      <c r="J830" s="54">
        <v>830</v>
      </c>
      <c r="K830" s="54">
        <v>829</v>
      </c>
      <c r="L830" s="54" t="e">
        <v>#N/A</v>
      </c>
      <c r="M830" s="54" t="s">
        <v>156</v>
      </c>
      <c r="N830" s="54" t="s">
        <v>156</v>
      </c>
      <c r="O830" s="54" t="s">
        <v>156</v>
      </c>
    </row>
    <row r="831" spans="1:15" x14ac:dyDescent="0.35">
      <c r="A831" s="59" t="s">
        <v>185</v>
      </c>
      <c r="B831" s="60">
        <v>45214</v>
      </c>
      <c r="C831" s="54">
        <v>112.39387465894654</v>
      </c>
      <c r="D831" s="54">
        <v>112.39387465894654</v>
      </c>
      <c r="E831"/>
      <c r="F831"/>
      <c r="G831" t="e">
        <v>#N/A</v>
      </c>
      <c r="H831" s="54">
        <v>739</v>
      </c>
      <c r="I831" s="54">
        <v>93</v>
      </c>
      <c r="J831" s="54">
        <v>831</v>
      </c>
      <c r="K831" s="54">
        <v>830</v>
      </c>
      <c r="L831" s="54" t="e">
        <v>#N/A</v>
      </c>
      <c r="M831" s="54" t="s">
        <v>156</v>
      </c>
      <c r="N831" s="54" t="s">
        <v>156</v>
      </c>
      <c r="O831" s="54" t="s">
        <v>156</v>
      </c>
    </row>
    <row r="832" spans="1:15" x14ac:dyDescent="0.35">
      <c r="A832" s="59" t="s">
        <v>185</v>
      </c>
      <c r="B832" s="60">
        <v>45221</v>
      </c>
      <c r="C832" s="54">
        <v>116.75004885343505</v>
      </c>
      <c r="D832" s="54">
        <v>116.75004885343505</v>
      </c>
      <c r="E832"/>
      <c r="F832"/>
      <c r="G832" t="e">
        <v>#N/A</v>
      </c>
      <c r="H832" s="54">
        <v>739</v>
      </c>
      <c r="I832" s="54">
        <v>94</v>
      </c>
      <c r="J832" s="54">
        <v>832</v>
      </c>
      <c r="K832" s="54">
        <v>831</v>
      </c>
      <c r="L832" s="54" t="e">
        <v>#N/A</v>
      </c>
      <c r="M832" s="54" t="s">
        <v>156</v>
      </c>
      <c r="N832" s="54" t="s">
        <v>156</v>
      </c>
      <c r="O832" s="54" t="s">
        <v>156</v>
      </c>
    </row>
    <row r="833" spans="1:15" x14ac:dyDescent="0.35">
      <c r="A833" s="59" t="s">
        <v>185</v>
      </c>
      <c r="B833" s="60">
        <v>45228</v>
      </c>
      <c r="C833" s="54">
        <v>122.21155232032254</v>
      </c>
      <c r="D833" s="54">
        <v>122.21155232032254</v>
      </c>
      <c r="E833"/>
      <c r="F833"/>
      <c r="G833" t="e">
        <v>#N/A</v>
      </c>
      <c r="H833" s="54">
        <v>739</v>
      </c>
      <c r="I833" s="54">
        <v>95</v>
      </c>
      <c r="J833" s="54">
        <v>833</v>
      </c>
      <c r="K833" s="54">
        <v>832</v>
      </c>
      <c r="L833" s="54" t="e">
        <v>#N/A</v>
      </c>
      <c r="M833" s="54" t="s">
        <v>156</v>
      </c>
      <c r="N833" s="54" t="s">
        <v>156</v>
      </c>
      <c r="O833" s="54" t="s">
        <v>156</v>
      </c>
    </row>
    <row r="834" spans="1:15" x14ac:dyDescent="0.35">
      <c r="A834" s="59" t="s">
        <v>185</v>
      </c>
      <c r="B834" s="60">
        <v>45235</v>
      </c>
      <c r="C834" s="54">
        <v>105.80285499111632</v>
      </c>
      <c r="D834" s="54">
        <v>105.80285499111632</v>
      </c>
      <c r="E834"/>
      <c r="F834"/>
      <c r="G834" t="e">
        <v>#N/A</v>
      </c>
      <c r="H834" s="54">
        <v>739</v>
      </c>
      <c r="I834" s="54">
        <v>96</v>
      </c>
      <c r="J834" s="54">
        <v>834</v>
      </c>
      <c r="K834" s="54">
        <v>833</v>
      </c>
      <c r="L834" s="54" t="e">
        <v>#N/A</v>
      </c>
      <c r="M834" s="54" t="s">
        <v>156</v>
      </c>
      <c r="N834" s="54" t="s">
        <v>156</v>
      </c>
      <c r="O834" s="54" t="s">
        <v>156</v>
      </c>
    </row>
    <row r="835" spans="1:15" x14ac:dyDescent="0.35">
      <c r="A835" s="59" t="s">
        <v>185</v>
      </c>
      <c r="B835" s="60">
        <v>45242</v>
      </c>
      <c r="C835" s="54">
        <v>106.86509504096016</v>
      </c>
      <c r="D835" s="54">
        <v>106.86509504096016</v>
      </c>
      <c r="E835"/>
      <c r="F835"/>
      <c r="G835" t="e">
        <v>#N/A</v>
      </c>
      <c r="H835" s="54">
        <v>739</v>
      </c>
      <c r="I835" s="54">
        <v>97</v>
      </c>
      <c r="J835" s="54">
        <v>835</v>
      </c>
      <c r="K835" s="54">
        <v>834</v>
      </c>
      <c r="L835" s="54" t="e">
        <v>#N/A</v>
      </c>
      <c r="M835" s="54" t="s">
        <v>156</v>
      </c>
      <c r="N835" s="54" t="s">
        <v>156</v>
      </c>
      <c r="O835" s="54" t="s">
        <v>156</v>
      </c>
    </row>
    <row r="836" spans="1:15" x14ac:dyDescent="0.35">
      <c r="A836" s="59" t="s">
        <v>185</v>
      </c>
      <c r="B836" s="60">
        <v>45249</v>
      </c>
      <c r="C836" s="54">
        <v>108.7118519910144</v>
      </c>
      <c r="D836" s="54">
        <v>108.7118519910144</v>
      </c>
      <c r="E836"/>
      <c r="F836"/>
      <c r="G836" t="e">
        <v>#N/A</v>
      </c>
      <c r="H836" s="54">
        <v>739</v>
      </c>
      <c r="I836" s="54">
        <v>98</v>
      </c>
      <c r="J836" s="54">
        <v>836</v>
      </c>
      <c r="K836" s="54">
        <v>835</v>
      </c>
      <c r="L836" s="54" t="e">
        <v>#N/A</v>
      </c>
      <c r="M836" s="54" t="s">
        <v>156</v>
      </c>
      <c r="N836" s="54" t="s">
        <v>156</v>
      </c>
      <c r="O836" s="54" t="s">
        <v>156</v>
      </c>
    </row>
    <row r="837" spans="1:15" x14ac:dyDescent="0.35">
      <c r="A837" s="59" t="s">
        <v>185</v>
      </c>
      <c r="B837" s="60">
        <v>45256</v>
      </c>
      <c r="C837" s="54">
        <v>104.85745189341812</v>
      </c>
      <c r="D837" s="54">
        <v>104.85745189341812</v>
      </c>
      <c r="E837"/>
      <c r="F837"/>
      <c r="G837" t="e">
        <v>#N/A</v>
      </c>
      <c r="H837" s="54">
        <v>739</v>
      </c>
      <c r="I837" s="54">
        <v>99</v>
      </c>
      <c r="J837" s="54">
        <v>837</v>
      </c>
      <c r="K837" s="54">
        <v>836</v>
      </c>
      <c r="L837" s="54" t="e">
        <v>#N/A</v>
      </c>
      <c r="M837" s="54" t="s">
        <v>156</v>
      </c>
      <c r="N837" s="54" t="s">
        <v>156</v>
      </c>
      <c r="O837" s="54" t="s">
        <v>156</v>
      </c>
    </row>
    <row r="838" spans="1:15" x14ac:dyDescent="0.35">
      <c r="A838" s="59" t="s">
        <v>185</v>
      </c>
      <c r="B838" s="60">
        <v>45263</v>
      </c>
      <c r="C838" s="54">
        <v>104.58553042090904</v>
      </c>
      <c r="D838" s="54">
        <v>104.58553042090904</v>
      </c>
      <c r="E838"/>
      <c r="F838"/>
      <c r="G838" t="e">
        <v>#N/A</v>
      </c>
      <c r="H838" s="54">
        <v>739</v>
      </c>
      <c r="I838" s="54">
        <v>100</v>
      </c>
      <c r="J838" s="54">
        <v>838</v>
      </c>
      <c r="K838" s="54">
        <v>837</v>
      </c>
      <c r="L838" s="54" t="e">
        <v>#N/A</v>
      </c>
      <c r="M838" s="54" t="s">
        <v>156</v>
      </c>
      <c r="N838" s="54" t="s">
        <v>156</v>
      </c>
      <c r="O838" s="54" t="s">
        <v>156</v>
      </c>
    </row>
    <row r="839" spans="1:15" x14ac:dyDescent="0.35">
      <c r="A839" s="59" t="s">
        <v>185</v>
      </c>
      <c r="B839" s="60">
        <v>45270</v>
      </c>
      <c r="C839" s="54">
        <v>104.43451301585783</v>
      </c>
      <c r="D839" s="54">
        <v>104.43451301585783</v>
      </c>
      <c r="E839"/>
      <c r="F839"/>
      <c r="G839" t="e">
        <v>#N/A</v>
      </c>
      <c r="H839" s="54">
        <v>739</v>
      </c>
      <c r="I839" s="54">
        <v>101</v>
      </c>
      <c r="J839" s="54">
        <v>839</v>
      </c>
      <c r="K839" s="54">
        <v>838</v>
      </c>
      <c r="L839" s="54" t="e">
        <v>#N/A</v>
      </c>
      <c r="M839" s="54" t="s">
        <v>156</v>
      </c>
      <c r="N839" s="54" t="s">
        <v>156</v>
      </c>
      <c r="O839" s="54" t="s">
        <v>156</v>
      </c>
    </row>
    <row r="840" spans="1:15" x14ac:dyDescent="0.35">
      <c r="A840" s="59" t="s">
        <v>185</v>
      </c>
      <c r="B840" s="60">
        <v>45277</v>
      </c>
      <c r="C840" s="54">
        <v>104.80351894702663</v>
      </c>
      <c r="D840" s="54">
        <v>104.80351894702663</v>
      </c>
      <c r="E840"/>
      <c r="F840"/>
      <c r="G840" t="e">
        <v>#N/A</v>
      </c>
      <c r="H840" s="54">
        <v>739</v>
      </c>
      <c r="I840" s="54">
        <v>102</v>
      </c>
      <c r="J840" s="54">
        <v>840</v>
      </c>
      <c r="K840" s="54">
        <v>839</v>
      </c>
      <c r="L840" s="54" t="e">
        <v>#N/A</v>
      </c>
      <c r="M840" s="54" t="s">
        <v>156</v>
      </c>
      <c r="N840" s="54" t="s">
        <v>156</v>
      </c>
      <c r="O840" s="54" t="s">
        <v>156</v>
      </c>
    </row>
    <row r="841" spans="1:15" x14ac:dyDescent="0.35">
      <c r="A841" s="59" t="s">
        <v>185</v>
      </c>
      <c r="B841" s="60">
        <v>45284</v>
      </c>
      <c r="C841" s="54">
        <v>104.83721495765494</v>
      </c>
      <c r="D841" s="54">
        <v>104.83721495765494</v>
      </c>
      <c r="E841"/>
      <c r="F841"/>
      <c r="G841" t="e">
        <v>#N/A</v>
      </c>
      <c r="H841" s="54">
        <v>739</v>
      </c>
      <c r="I841" s="54">
        <v>103</v>
      </c>
      <c r="J841" s="54">
        <v>841</v>
      </c>
      <c r="K841" s="54">
        <v>840</v>
      </c>
      <c r="L841" s="54" t="e">
        <v>#N/A</v>
      </c>
      <c r="M841" s="54" t="s">
        <v>156</v>
      </c>
      <c r="N841" s="54" t="s">
        <v>156</v>
      </c>
      <c r="O841" s="54" t="s">
        <v>156</v>
      </c>
    </row>
    <row r="842" spans="1:15" x14ac:dyDescent="0.35">
      <c r="A842" s="59" t="s">
        <v>185</v>
      </c>
      <c r="B842" s="60">
        <v>45291</v>
      </c>
      <c r="C842" s="54">
        <v>104.77559129858157</v>
      </c>
      <c r="D842" s="54">
        <v>104.77559129858157</v>
      </c>
      <c r="E842"/>
      <c r="F842"/>
      <c r="G842" t="e">
        <v>#N/A</v>
      </c>
      <c r="H842" s="54">
        <v>739</v>
      </c>
      <c r="I842" s="54">
        <v>104</v>
      </c>
      <c r="J842" s="54">
        <v>842</v>
      </c>
      <c r="K842" s="54">
        <v>841</v>
      </c>
      <c r="L842" s="54" t="e">
        <v>#N/A</v>
      </c>
      <c r="M842" s="54" t="s">
        <v>156</v>
      </c>
      <c r="N842" s="54" t="s">
        <v>156</v>
      </c>
      <c r="O842" s="54" t="s">
        <v>156</v>
      </c>
    </row>
    <row r="843" spans="1:15" x14ac:dyDescent="0.35">
      <c r="A843" s="59" t="s">
        <v>185</v>
      </c>
      <c r="B843" s="60">
        <v>45298</v>
      </c>
      <c r="C843" s="54">
        <v>104.79971747821681</v>
      </c>
      <c r="D843" s="54">
        <v>104.79971747821681</v>
      </c>
      <c r="E843"/>
      <c r="F843"/>
      <c r="G843" t="e">
        <v>#N/A</v>
      </c>
      <c r="H843" s="54">
        <v>739</v>
      </c>
      <c r="I843" s="54">
        <v>105</v>
      </c>
      <c r="J843" s="54">
        <v>843</v>
      </c>
      <c r="K843" s="54">
        <v>842</v>
      </c>
      <c r="L843" s="54" t="e">
        <v>#N/A</v>
      </c>
      <c r="M843" s="54" t="s">
        <v>156</v>
      </c>
      <c r="N843" s="54" t="s">
        <v>156</v>
      </c>
      <c r="O843" s="54" t="s">
        <v>156</v>
      </c>
    </row>
    <row r="844" spans="1:15" x14ac:dyDescent="0.35">
      <c r="A844" s="59" t="s">
        <v>185</v>
      </c>
      <c r="B844" s="60">
        <v>45305</v>
      </c>
      <c r="C844" s="54">
        <v>104.91730214308089</v>
      </c>
      <c r="D844" s="54">
        <v>104.91730214308089</v>
      </c>
      <c r="E844"/>
      <c r="F844"/>
      <c r="G844" t="e">
        <v>#N/A</v>
      </c>
      <c r="H844" s="54">
        <v>739</v>
      </c>
      <c r="I844" s="54">
        <v>106</v>
      </c>
      <c r="J844" s="54">
        <v>844</v>
      </c>
      <c r="K844" s="54">
        <v>843</v>
      </c>
      <c r="L844" s="54" t="e">
        <v>#N/A</v>
      </c>
      <c r="M844" s="54" t="s">
        <v>156</v>
      </c>
      <c r="N844" s="54" t="s">
        <v>156</v>
      </c>
      <c r="O844" s="54" t="s">
        <v>156</v>
      </c>
    </row>
    <row r="845" spans="1:15" x14ac:dyDescent="0.35">
      <c r="A845" s="59" t="s">
        <v>185</v>
      </c>
      <c r="B845" s="60">
        <v>45312</v>
      </c>
      <c r="C845" s="54">
        <v>105.03754863956813</v>
      </c>
      <c r="D845" s="54">
        <v>105.03754863956813</v>
      </c>
      <c r="E845"/>
      <c r="F845"/>
      <c r="G845" t="e">
        <v>#N/A</v>
      </c>
      <c r="H845" s="54">
        <v>739</v>
      </c>
      <c r="I845" s="54">
        <v>107</v>
      </c>
      <c r="J845" s="54">
        <v>845</v>
      </c>
      <c r="K845" s="54">
        <v>844</v>
      </c>
      <c r="L845" s="54" t="e">
        <v>#N/A</v>
      </c>
      <c r="M845" s="54" t="s">
        <v>156</v>
      </c>
      <c r="N845" s="54" t="s">
        <v>156</v>
      </c>
      <c r="O845" s="54" t="s">
        <v>156</v>
      </c>
    </row>
    <row r="846" spans="1:15" x14ac:dyDescent="0.35">
      <c r="A846" s="59" t="s">
        <v>185</v>
      </c>
      <c r="B846" s="60">
        <v>45319</v>
      </c>
      <c r="C846" s="54">
        <v>105.16269931709992</v>
      </c>
      <c r="D846" s="54">
        <v>105.16269931709992</v>
      </c>
      <c r="E846"/>
      <c r="F846"/>
      <c r="G846" t="e">
        <v>#N/A</v>
      </c>
      <c r="H846" s="54">
        <v>739</v>
      </c>
      <c r="I846" s="54">
        <v>108</v>
      </c>
      <c r="J846" s="54">
        <v>846</v>
      </c>
      <c r="K846" s="54">
        <v>845</v>
      </c>
      <c r="L846" s="54" t="e">
        <v>#N/A</v>
      </c>
      <c r="M846" s="54" t="s">
        <v>156</v>
      </c>
      <c r="N846" s="54" t="s">
        <v>156</v>
      </c>
      <c r="O846" s="54" t="s">
        <v>156</v>
      </c>
    </row>
    <row r="847" spans="1:15" x14ac:dyDescent="0.35">
      <c r="A847" s="59" t="s">
        <v>185</v>
      </c>
      <c r="B847" s="60">
        <v>45326</v>
      </c>
      <c r="C847" s="54">
        <v>105.28629348883949</v>
      </c>
      <c r="D847" s="54">
        <v>105.28629348883949</v>
      </c>
      <c r="E847"/>
      <c r="F847"/>
      <c r="G847" t="e">
        <v>#N/A</v>
      </c>
      <c r="H847" s="54">
        <v>739</v>
      </c>
      <c r="I847" s="54">
        <v>109</v>
      </c>
      <c r="J847" s="54">
        <v>847</v>
      </c>
      <c r="K847" s="54">
        <v>846</v>
      </c>
      <c r="L847" s="54" t="e">
        <v>#N/A</v>
      </c>
      <c r="M847" s="54" t="s">
        <v>156</v>
      </c>
      <c r="N847" s="54" t="s">
        <v>156</v>
      </c>
      <c r="O847" s="54" t="s">
        <v>156</v>
      </c>
    </row>
    <row r="848" spans="1:15" x14ac:dyDescent="0.35">
      <c r="A848" s="59" t="s">
        <v>185</v>
      </c>
      <c r="B848" s="60">
        <v>45333</v>
      </c>
      <c r="C848" s="54">
        <v>105.43085811814075</v>
      </c>
      <c r="D848" s="54">
        <v>105.43085811814075</v>
      </c>
      <c r="E848"/>
      <c r="F848"/>
      <c r="G848" t="e">
        <v>#N/A</v>
      </c>
      <c r="H848" s="54">
        <v>739</v>
      </c>
      <c r="I848" s="54">
        <v>110</v>
      </c>
      <c r="J848" s="54">
        <v>848</v>
      </c>
      <c r="K848" s="54">
        <v>847</v>
      </c>
      <c r="L848" s="54" t="e">
        <v>#N/A</v>
      </c>
      <c r="M848" s="54" t="s">
        <v>156</v>
      </c>
      <c r="N848" s="54" t="s">
        <v>156</v>
      </c>
      <c r="O848" s="54" t="s">
        <v>156</v>
      </c>
    </row>
    <row r="849" spans="1:15" x14ac:dyDescent="0.35">
      <c r="A849" s="59" t="s">
        <v>185</v>
      </c>
      <c r="B849" s="60">
        <v>45340</v>
      </c>
      <c r="C849" s="54">
        <v>105.54852154657979</v>
      </c>
      <c r="D849" s="54">
        <v>105.54852154657979</v>
      </c>
      <c r="E849"/>
      <c r="F849"/>
      <c r="G849" t="e">
        <v>#N/A</v>
      </c>
      <c r="H849" s="54">
        <v>739</v>
      </c>
      <c r="I849" s="54">
        <v>111</v>
      </c>
      <c r="J849" s="54">
        <v>849</v>
      </c>
      <c r="K849" s="54">
        <v>848</v>
      </c>
      <c r="L849" s="54" t="e">
        <v>#N/A</v>
      </c>
      <c r="M849" s="54" t="s">
        <v>156</v>
      </c>
      <c r="N849" s="54" t="s">
        <v>156</v>
      </c>
      <c r="O849" s="54" t="s">
        <v>156</v>
      </c>
    </row>
    <row r="850" spans="1:15" x14ac:dyDescent="0.35">
      <c r="A850" s="59" t="s">
        <v>185</v>
      </c>
      <c r="B850" s="60">
        <v>45347</v>
      </c>
      <c r="C850" s="54">
        <v>105.68108905912739</v>
      </c>
      <c r="D850" s="54">
        <v>105.68108905912739</v>
      </c>
      <c r="E850"/>
      <c r="F850"/>
      <c r="G850" t="e">
        <v>#N/A</v>
      </c>
      <c r="H850" s="54">
        <v>739</v>
      </c>
      <c r="I850" s="54">
        <v>112</v>
      </c>
      <c r="J850" s="54">
        <v>850</v>
      </c>
      <c r="K850" s="54">
        <v>849</v>
      </c>
      <c r="L850" s="54" t="e">
        <v>#N/A</v>
      </c>
      <c r="M850" s="54" t="s">
        <v>156</v>
      </c>
      <c r="N850" s="54" t="s">
        <v>156</v>
      </c>
      <c r="O850" s="54" t="s">
        <v>156</v>
      </c>
    </row>
    <row r="851" spans="1:15" x14ac:dyDescent="0.35">
      <c r="A851" s="59" t="s">
        <v>185</v>
      </c>
      <c r="B851" s="60">
        <v>45354</v>
      </c>
      <c r="C851" s="54">
        <v>105.87372445272496</v>
      </c>
      <c r="D851" s="54">
        <v>105.87372445272496</v>
      </c>
      <c r="E851"/>
      <c r="F851"/>
      <c r="G851" t="e">
        <v>#N/A</v>
      </c>
      <c r="H851" s="54">
        <v>739</v>
      </c>
      <c r="I851" s="54">
        <v>113</v>
      </c>
      <c r="J851" s="54">
        <v>851</v>
      </c>
      <c r="K851" s="54">
        <v>850</v>
      </c>
      <c r="L851" s="54" t="e">
        <v>#N/A</v>
      </c>
      <c r="M851" s="54" t="s">
        <v>156</v>
      </c>
      <c r="N851" s="54" t="s">
        <v>156</v>
      </c>
      <c r="O851" s="54" t="s">
        <v>156</v>
      </c>
    </row>
    <row r="852" spans="1:15" x14ac:dyDescent="0.35">
      <c r="A852" s="59" t="s">
        <v>185</v>
      </c>
      <c r="B852" s="60">
        <v>45361</v>
      </c>
      <c r="C852" s="54">
        <v>105.97102684137366</v>
      </c>
      <c r="D852" s="54">
        <v>105.97102684137366</v>
      </c>
      <c r="E852"/>
      <c r="F852"/>
      <c r="G852" t="e">
        <v>#N/A</v>
      </c>
      <c r="H852" s="54">
        <v>739</v>
      </c>
      <c r="I852" s="54">
        <v>114</v>
      </c>
      <c r="J852" s="54">
        <v>852</v>
      </c>
      <c r="K852" s="54">
        <v>851</v>
      </c>
      <c r="L852" s="54" t="e">
        <v>#N/A</v>
      </c>
      <c r="M852" s="54" t="s">
        <v>156</v>
      </c>
      <c r="N852" s="54" t="s">
        <v>156</v>
      </c>
      <c r="O852" s="54" t="s">
        <v>156</v>
      </c>
    </row>
    <row r="853" spans="1:15" x14ac:dyDescent="0.35">
      <c r="A853" s="59" t="s">
        <v>185</v>
      </c>
      <c r="B853" s="60">
        <v>45368</v>
      </c>
      <c r="C853" s="54">
        <v>106.10850489236498</v>
      </c>
      <c r="D853" s="54">
        <v>106.10850489236498</v>
      </c>
      <c r="E853"/>
      <c r="F853"/>
      <c r="G853" t="e">
        <v>#N/A</v>
      </c>
      <c r="H853" s="54">
        <v>739</v>
      </c>
      <c r="I853" s="54">
        <v>115</v>
      </c>
      <c r="J853" s="54">
        <v>853</v>
      </c>
      <c r="K853" s="54">
        <v>852</v>
      </c>
      <c r="L853" s="54" t="e">
        <v>#N/A</v>
      </c>
      <c r="M853" s="54" t="s">
        <v>156</v>
      </c>
      <c r="N853" s="54" t="s">
        <v>156</v>
      </c>
      <c r="O853" s="54" t="s">
        <v>156</v>
      </c>
    </row>
    <row r="854" spans="1:15" x14ac:dyDescent="0.35">
      <c r="A854" s="59" t="s">
        <v>185</v>
      </c>
      <c r="B854" s="60">
        <v>45375</v>
      </c>
      <c r="C854" s="54">
        <v>106.38940469942781</v>
      </c>
      <c r="D854" s="54">
        <v>106.38940469942781</v>
      </c>
      <c r="E854"/>
      <c r="F854"/>
      <c r="G854" t="e">
        <v>#N/A</v>
      </c>
      <c r="H854" s="54">
        <v>739</v>
      </c>
      <c r="I854" s="54">
        <v>116</v>
      </c>
      <c r="J854" s="54">
        <v>854</v>
      </c>
      <c r="K854" s="54">
        <v>853</v>
      </c>
      <c r="L854" s="54" t="e">
        <v>#N/A</v>
      </c>
      <c r="M854" s="54" t="s">
        <v>156</v>
      </c>
      <c r="N854" s="54" t="s">
        <v>156</v>
      </c>
      <c r="O854" s="54" t="s">
        <v>156</v>
      </c>
    </row>
    <row r="855" spans="1:15" x14ac:dyDescent="0.35">
      <c r="A855" s="59" t="s">
        <v>185</v>
      </c>
      <c r="B855" s="60">
        <v>45382</v>
      </c>
      <c r="C855" s="54">
        <v>111.61492782786733</v>
      </c>
      <c r="D855" s="54">
        <v>111.61492782786733</v>
      </c>
      <c r="E855"/>
      <c r="F855"/>
      <c r="G855" t="e">
        <v>#N/A</v>
      </c>
      <c r="H855" s="54">
        <v>739</v>
      </c>
      <c r="I855" s="54">
        <v>117</v>
      </c>
      <c r="J855" s="54">
        <v>855</v>
      </c>
      <c r="K855" s="54">
        <v>854</v>
      </c>
      <c r="L855" s="54" t="e">
        <v>#N/A</v>
      </c>
      <c r="M855" s="54" t="s">
        <v>156</v>
      </c>
      <c r="N855" s="54" t="s">
        <v>156</v>
      </c>
      <c r="O855" s="54" t="s">
        <v>156</v>
      </c>
    </row>
    <row r="856" spans="1:15" x14ac:dyDescent="0.35">
      <c r="A856" s="59" t="s">
        <v>185</v>
      </c>
      <c r="B856" s="60">
        <v>45389</v>
      </c>
      <c r="C856" s="54">
        <v>109.62312909110474</v>
      </c>
      <c r="D856" s="54">
        <v>109.62312909110474</v>
      </c>
      <c r="E856"/>
      <c r="F856"/>
      <c r="G856" t="e">
        <v>#N/A</v>
      </c>
      <c r="H856" s="54">
        <v>739</v>
      </c>
      <c r="I856" s="54">
        <v>118</v>
      </c>
      <c r="J856" s="54">
        <v>856</v>
      </c>
      <c r="K856" s="54">
        <v>855</v>
      </c>
      <c r="L856" s="54" t="e">
        <v>#N/A</v>
      </c>
      <c r="M856" s="54" t="s">
        <v>156</v>
      </c>
      <c r="N856" s="54" t="s">
        <v>156</v>
      </c>
      <c r="O856" s="54" t="s">
        <v>156</v>
      </c>
    </row>
    <row r="857" spans="1:15" x14ac:dyDescent="0.35">
      <c r="A857" s="59" t="s">
        <v>185</v>
      </c>
      <c r="B857" s="60">
        <v>45396</v>
      </c>
      <c r="C857" s="54">
        <v>106.77369801956004</v>
      </c>
      <c r="D857" s="54">
        <v>106.77369801956004</v>
      </c>
      <c r="E857"/>
      <c r="F857"/>
      <c r="G857" t="e">
        <v>#N/A</v>
      </c>
      <c r="H857" s="54">
        <v>739</v>
      </c>
      <c r="I857" s="54">
        <v>119</v>
      </c>
      <c r="J857" s="54">
        <v>857</v>
      </c>
      <c r="K857" s="54">
        <v>856</v>
      </c>
      <c r="L857" s="54" t="e">
        <v>#N/A</v>
      </c>
      <c r="M857" s="54" t="s">
        <v>156</v>
      </c>
      <c r="N857" s="54" t="s">
        <v>156</v>
      </c>
      <c r="O857" s="54" t="s">
        <v>156</v>
      </c>
    </row>
    <row r="858" spans="1:15" x14ac:dyDescent="0.35">
      <c r="A858" s="59" t="s">
        <v>185</v>
      </c>
      <c r="B858" s="60">
        <v>45403</v>
      </c>
      <c r="C858" s="54">
        <v>142.59128921601433</v>
      </c>
      <c r="D858" s="54">
        <v>142.59128921601433</v>
      </c>
      <c r="E858"/>
      <c r="F858"/>
      <c r="G858" t="e">
        <v>#N/A</v>
      </c>
      <c r="H858" s="54">
        <v>739</v>
      </c>
      <c r="I858" s="54">
        <v>120</v>
      </c>
      <c r="J858" s="54">
        <v>858</v>
      </c>
      <c r="K858" s="54">
        <v>857</v>
      </c>
      <c r="L858" s="54" t="e">
        <v>#N/A</v>
      </c>
      <c r="M858" s="54" t="s">
        <v>156</v>
      </c>
      <c r="N858" s="54" t="s">
        <v>156</v>
      </c>
      <c r="O858" s="54" t="s">
        <v>156</v>
      </c>
    </row>
    <row r="859" spans="1:15" x14ac:dyDescent="0.35">
      <c r="A859" s="59" t="s">
        <v>185</v>
      </c>
      <c r="B859" s="60">
        <v>45410</v>
      </c>
      <c r="C859" s="54">
        <v>124.39570516561409</v>
      </c>
      <c r="D859" s="54">
        <v>124.39570516561409</v>
      </c>
      <c r="E859"/>
      <c r="F859"/>
      <c r="G859" t="e">
        <v>#N/A</v>
      </c>
      <c r="H859" s="54">
        <v>739</v>
      </c>
      <c r="I859" s="54">
        <v>121</v>
      </c>
      <c r="J859" s="54">
        <v>859</v>
      </c>
      <c r="K859" s="54">
        <v>858</v>
      </c>
      <c r="L859" s="54" t="e">
        <v>#N/A</v>
      </c>
      <c r="M859" s="54" t="s">
        <v>156</v>
      </c>
      <c r="N859" s="54" t="s">
        <v>156</v>
      </c>
      <c r="O859" s="54" t="s">
        <v>156</v>
      </c>
    </row>
    <row r="860" spans="1:15" x14ac:dyDescent="0.35">
      <c r="A860" s="59" t="s">
        <v>185</v>
      </c>
      <c r="B860" s="60">
        <v>45417</v>
      </c>
      <c r="C860" s="54">
        <v>141.53160163833059</v>
      </c>
      <c r="D860" s="54">
        <v>141.53160163833059</v>
      </c>
      <c r="E860"/>
      <c r="F860"/>
      <c r="G860" t="e">
        <v>#N/A</v>
      </c>
      <c r="H860" s="54">
        <v>739</v>
      </c>
      <c r="I860" s="54">
        <v>122</v>
      </c>
      <c r="J860" s="54">
        <v>860</v>
      </c>
      <c r="K860" s="54">
        <v>859</v>
      </c>
      <c r="L860" s="54" t="e">
        <v>#N/A</v>
      </c>
      <c r="M860" s="54" t="s">
        <v>156</v>
      </c>
      <c r="N860" s="54" t="s">
        <v>156</v>
      </c>
      <c r="O860" s="54" t="s">
        <v>156</v>
      </c>
    </row>
    <row r="861" spans="1:15" x14ac:dyDescent="0.35">
      <c r="A861" s="59" t="s">
        <v>185</v>
      </c>
      <c r="B861" s="60">
        <v>45424</v>
      </c>
      <c r="C861" s="54">
        <v>134.89647661306554</v>
      </c>
      <c r="D861" s="54">
        <v>134.89647661306554</v>
      </c>
      <c r="E861"/>
      <c r="F861"/>
      <c r="G861" t="e">
        <v>#N/A</v>
      </c>
      <c r="H861" s="54">
        <v>739</v>
      </c>
      <c r="I861" s="54">
        <v>123</v>
      </c>
      <c r="J861" s="54">
        <v>861</v>
      </c>
      <c r="K861" s="54">
        <v>860</v>
      </c>
      <c r="L861" s="54" t="e">
        <v>#N/A</v>
      </c>
      <c r="M861" s="54" t="s">
        <v>156</v>
      </c>
      <c r="N861" s="54" t="s">
        <v>156</v>
      </c>
      <c r="O861" s="54" t="s">
        <v>156</v>
      </c>
    </row>
    <row r="862" spans="1:15" x14ac:dyDescent="0.35">
      <c r="A862" s="59" t="s">
        <v>185</v>
      </c>
      <c r="B862" s="60">
        <v>45431</v>
      </c>
      <c r="C862" s="54">
        <v>133.15258442111431</v>
      </c>
      <c r="D862" s="54">
        <v>133.15258442111431</v>
      </c>
      <c r="E862"/>
      <c r="F862"/>
      <c r="G862" t="e">
        <v>#N/A</v>
      </c>
      <c r="H862" s="54">
        <v>739</v>
      </c>
      <c r="I862" s="54">
        <v>124</v>
      </c>
      <c r="J862" s="54">
        <v>862</v>
      </c>
      <c r="K862" s="54">
        <v>861</v>
      </c>
      <c r="L862" s="54" t="e">
        <v>#N/A</v>
      </c>
      <c r="M862" s="54" t="s">
        <v>156</v>
      </c>
      <c r="N862" s="54" t="s">
        <v>156</v>
      </c>
      <c r="O862" s="54" t="s">
        <v>156</v>
      </c>
    </row>
    <row r="863" spans="1:15" x14ac:dyDescent="0.35">
      <c r="A863" s="59" t="s">
        <v>185</v>
      </c>
      <c r="B863" s="60">
        <v>45438</v>
      </c>
      <c r="C863" s="54">
        <v>132.2186239574126</v>
      </c>
      <c r="D863" s="54">
        <v>132.2186239574126</v>
      </c>
      <c r="E863"/>
      <c r="F863"/>
      <c r="G863" t="e">
        <v>#N/A</v>
      </c>
      <c r="H863" s="54">
        <v>739</v>
      </c>
      <c r="I863" s="54">
        <v>125</v>
      </c>
      <c r="J863" s="54">
        <v>863</v>
      </c>
      <c r="K863" s="54">
        <v>862</v>
      </c>
      <c r="L863" s="54" t="e">
        <v>#N/A</v>
      </c>
      <c r="M863" s="54" t="s">
        <v>156</v>
      </c>
      <c r="N863" s="54" t="s">
        <v>156</v>
      </c>
      <c r="O863" s="54" t="s">
        <v>156</v>
      </c>
    </row>
    <row r="864" spans="1:15" x14ac:dyDescent="0.35">
      <c r="A864" s="59" t="s">
        <v>185</v>
      </c>
      <c r="B864" s="60">
        <v>45445</v>
      </c>
      <c r="C864" s="54">
        <v>131.21746335798605</v>
      </c>
      <c r="D864" s="54">
        <v>131.21746335798605</v>
      </c>
      <c r="E864"/>
      <c r="F864"/>
      <c r="G864" t="e">
        <v>#N/A</v>
      </c>
      <c r="H864" s="54">
        <v>739</v>
      </c>
      <c r="I864" s="54">
        <v>126</v>
      </c>
      <c r="J864" s="54">
        <v>864</v>
      </c>
      <c r="K864" s="54">
        <v>863</v>
      </c>
      <c r="L864" s="54" t="e">
        <v>#N/A</v>
      </c>
      <c r="M864" s="54" t="s">
        <v>156</v>
      </c>
      <c r="N864" s="54" t="s">
        <v>156</v>
      </c>
      <c r="O864" s="54" t="s">
        <v>156</v>
      </c>
    </row>
    <row r="865" spans="1:15" x14ac:dyDescent="0.35">
      <c r="A865" s="59" t="s">
        <v>185</v>
      </c>
      <c r="B865" s="60">
        <v>45452</v>
      </c>
      <c r="C865" s="54">
        <v>128.93111153698155</v>
      </c>
      <c r="D865" s="54">
        <v>128.93111153698155</v>
      </c>
      <c r="E865"/>
      <c r="F865"/>
      <c r="G865" t="e">
        <v>#N/A</v>
      </c>
      <c r="H865" s="54">
        <v>739</v>
      </c>
      <c r="I865" s="54">
        <v>127</v>
      </c>
      <c r="J865" s="54">
        <v>865</v>
      </c>
      <c r="K865" s="54">
        <v>864</v>
      </c>
      <c r="L865" s="54" t="e">
        <v>#N/A</v>
      </c>
      <c r="M865" s="54" t="s">
        <v>156</v>
      </c>
      <c r="N865" s="54" t="s">
        <v>156</v>
      </c>
      <c r="O865" s="54" t="s">
        <v>156</v>
      </c>
    </row>
    <row r="866" spans="1:15" x14ac:dyDescent="0.35">
      <c r="A866" s="59" t="s">
        <v>185</v>
      </c>
      <c r="B866" s="60">
        <v>45459</v>
      </c>
      <c r="C866" s="54">
        <v>131.21457912995118</v>
      </c>
      <c r="D866" s="54">
        <v>131.21457912995118</v>
      </c>
      <c r="E866"/>
      <c r="F866"/>
      <c r="G866" t="e">
        <v>#N/A</v>
      </c>
      <c r="H866" s="54">
        <v>739</v>
      </c>
      <c r="I866" s="54">
        <v>128</v>
      </c>
      <c r="J866" s="54">
        <v>866</v>
      </c>
      <c r="K866" s="54">
        <v>865</v>
      </c>
      <c r="L866" s="54" t="e">
        <v>#N/A</v>
      </c>
      <c r="M866" s="54" t="s">
        <v>156</v>
      </c>
      <c r="N866" s="54" t="s">
        <v>156</v>
      </c>
      <c r="O866" s="54" t="s">
        <v>156</v>
      </c>
    </row>
    <row r="867" spans="1:15" x14ac:dyDescent="0.35">
      <c r="A867" s="59" t="s">
        <v>185</v>
      </c>
      <c r="B867" s="60">
        <v>45466</v>
      </c>
      <c r="C867" s="54">
        <v>123.44181717521526</v>
      </c>
      <c r="D867" s="54">
        <v>123.44181717521526</v>
      </c>
      <c r="E867"/>
      <c r="F867"/>
      <c r="G867" t="e">
        <v>#N/A</v>
      </c>
      <c r="H867" s="54">
        <v>739</v>
      </c>
      <c r="I867" s="54">
        <v>129</v>
      </c>
      <c r="J867" s="54">
        <v>867</v>
      </c>
      <c r="K867" s="54">
        <v>866</v>
      </c>
      <c r="L867" s="54" t="e">
        <v>#N/A</v>
      </c>
      <c r="M867" s="54" t="s">
        <v>156</v>
      </c>
      <c r="N867" s="54" t="s">
        <v>156</v>
      </c>
      <c r="O867" s="54" t="s">
        <v>156</v>
      </c>
    </row>
    <row r="868" spans="1:15" x14ac:dyDescent="0.35">
      <c r="A868" s="59" t="s">
        <v>185</v>
      </c>
      <c r="B868" s="60">
        <v>45473</v>
      </c>
      <c r="C868" s="54">
        <v>112.24675434151007</v>
      </c>
      <c r="D868" s="54">
        <v>112.24675434151007</v>
      </c>
      <c r="E868"/>
      <c r="F868"/>
      <c r="G868" t="e">
        <v>#N/A</v>
      </c>
      <c r="H868" s="54">
        <v>739</v>
      </c>
      <c r="I868" s="54">
        <v>130</v>
      </c>
      <c r="J868" s="54">
        <v>868</v>
      </c>
      <c r="K868" s="54">
        <v>867</v>
      </c>
      <c r="L868" s="54" t="e">
        <v>#N/A</v>
      </c>
      <c r="M868" s="54" t="s">
        <v>156</v>
      </c>
      <c r="N868" s="54" t="s">
        <v>156</v>
      </c>
      <c r="O868" s="54" t="s">
        <v>156</v>
      </c>
    </row>
    <row r="869" spans="1:15" x14ac:dyDescent="0.35">
      <c r="A869" s="59" t="s">
        <v>185</v>
      </c>
      <c r="B869" s="60">
        <v>45480</v>
      </c>
      <c r="C869" s="54">
        <v>109.76674521039196</v>
      </c>
      <c r="D869" s="54">
        <v>109.76674521039196</v>
      </c>
      <c r="E869"/>
      <c r="F869"/>
      <c r="G869" t="e">
        <v>#N/A</v>
      </c>
      <c r="H869" s="54">
        <v>739</v>
      </c>
      <c r="I869" s="54">
        <v>131</v>
      </c>
      <c r="J869" s="54">
        <v>869</v>
      </c>
      <c r="K869" s="54">
        <v>868</v>
      </c>
      <c r="L869" s="54" t="e">
        <v>#N/A</v>
      </c>
      <c r="M869" s="54" t="s">
        <v>156</v>
      </c>
      <c r="N869" s="54" t="s">
        <v>156</v>
      </c>
      <c r="O869" s="54" t="s">
        <v>156</v>
      </c>
    </row>
    <row r="870" spans="1:15" x14ac:dyDescent="0.35">
      <c r="A870" s="59" t="s">
        <v>185</v>
      </c>
      <c r="B870" s="60">
        <v>45487</v>
      </c>
      <c r="C870" s="54">
        <v>109.45531802981181</v>
      </c>
      <c r="D870" s="54">
        <v>109.45531802981181</v>
      </c>
      <c r="E870"/>
      <c r="F870"/>
      <c r="G870" t="e">
        <v>#N/A</v>
      </c>
      <c r="H870" s="54">
        <v>739</v>
      </c>
      <c r="I870" s="54">
        <v>132</v>
      </c>
      <c r="J870" s="54">
        <v>870</v>
      </c>
      <c r="K870" s="54">
        <v>869</v>
      </c>
      <c r="L870" s="54" t="e">
        <v>#N/A</v>
      </c>
      <c r="M870" s="54" t="s">
        <v>156</v>
      </c>
      <c r="N870" s="54" t="s">
        <v>156</v>
      </c>
      <c r="O870" s="54" t="s">
        <v>156</v>
      </c>
    </row>
    <row r="871" spans="1:15" x14ac:dyDescent="0.35">
      <c r="A871" s="59" t="s">
        <v>185</v>
      </c>
      <c r="B871" s="60">
        <v>45494</v>
      </c>
      <c r="C871" s="54">
        <v>109.57242051108028</v>
      </c>
      <c r="D871" s="54">
        <v>109.57242051108028</v>
      </c>
      <c r="E871"/>
      <c r="F871"/>
      <c r="G871" t="e">
        <v>#N/A</v>
      </c>
      <c r="H871" s="54">
        <v>739</v>
      </c>
      <c r="I871" s="54">
        <v>133</v>
      </c>
      <c r="J871" s="54">
        <v>871</v>
      </c>
      <c r="K871" s="54">
        <v>870</v>
      </c>
      <c r="L871" s="54" t="e">
        <v>#N/A</v>
      </c>
      <c r="M871" s="54" t="s">
        <v>156</v>
      </c>
      <c r="N871" s="54" t="s">
        <v>156</v>
      </c>
      <c r="O871" s="54" t="s">
        <v>156</v>
      </c>
    </row>
    <row r="872" spans="1:15" x14ac:dyDescent="0.35">
      <c r="A872" s="59" t="s">
        <v>185</v>
      </c>
      <c r="B872" s="60">
        <v>45501</v>
      </c>
      <c r="C872" s="54">
        <v>110.64951699211356</v>
      </c>
      <c r="D872" s="54">
        <v>110.64951699211356</v>
      </c>
      <c r="E872"/>
      <c r="F872"/>
      <c r="G872" t="e">
        <v>#N/A</v>
      </c>
      <c r="H872" s="54">
        <v>739</v>
      </c>
      <c r="I872" s="54">
        <v>134</v>
      </c>
      <c r="J872" s="54">
        <v>872</v>
      </c>
      <c r="K872" s="54">
        <v>871</v>
      </c>
      <c r="L872" s="54" t="e">
        <v>#N/A</v>
      </c>
      <c r="M872" s="54" t="s">
        <v>156</v>
      </c>
      <c r="N872" s="54" t="s">
        <v>156</v>
      </c>
      <c r="O872" s="54" t="s">
        <v>156</v>
      </c>
    </row>
    <row r="873" spans="1:15" x14ac:dyDescent="0.35">
      <c r="A873" s="59" t="s">
        <v>185</v>
      </c>
      <c r="B873" s="60">
        <v>45508</v>
      </c>
      <c r="C873" s="54">
        <v>111.61077290003097</v>
      </c>
      <c r="D873" s="54">
        <v>111.61077290003097</v>
      </c>
      <c r="E873"/>
      <c r="F873"/>
      <c r="G873" t="e">
        <v>#N/A</v>
      </c>
      <c r="H873" s="54">
        <v>739</v>
      </c>
      <c r="I873" s="54">
        <v>135</v>
      </c>
      <c r="J873" s="54">
        <v>873</v>
      </c>
      <c r="K873" s="54">
        <v>872</v>
      </c>
      <c r="L873" s="54" t="e">
        <v>#N/A</v>
      </c>
      <c r="M873" s="54" t="s">
        <v>156</v>
      </c>
      <c r="N873" s="54" t="s">
        <v>156</v>
      </c>
      <c r="O873" s="54" t="s">
        <v>156</v>
      </c>
    </row>
    <row r="874" spans="1:15" x14ac:dyDescent="0.35">
      <c r="A874" s="59" t="s">
        <v>185</v>
      </c>
      <c r="B874" s="60">
        <v>45515</v>
      </c>
      <c r="C874" s="54">
        <v>113.65887722330406</v>
      </c>
      <c r="D874" s="54">
        <v>113.65887722330406</v>
      </c>
      <c r="E874"/>
      <c r="F874"/>
      <c r="G874" t="e">
        <v>#N/A</v>
      </c>
      <c r="H874" s="54">
        <v>739</v>
      </c>
      <c r="I874" s="54">
        <v>136</v>
      </c>
      <c r="J874" s="54">
        <v>874</v>
      </c>
      <c r="K874" s="54">
        <v>873</v>
      </c>
      <c r="L874" s="54" t="e">
        <v>#N/A</v>
      </c>
      <c r="M874" s="54" t="s">
        <v>156</v>
      </c>
      <c r="N874" s="54" t="s">
        <v>156</v>
      </c>
      <c r="O874" s="54" t="s">
        <v>156</v>
      </c>
    </row>
    <row r="875" spans="1:15" x14ac:dyDescent="0.35">
      <c r="A875" s="59" t="s">
        <v>185</v>
      </c>
      <c r="B875" s="60">
        <v>45522</v>
      </c>
      <c r="C875" s="54">
        <v>112.27917856751824</v>
      </c>
      <c r="D875" s="54">
        <v>112.27917856751824</v>
      </c>
      <c r="E875"/>
      <c r="F875"/>
      <c r="G875" t="e">
        <v>#N/A</v>
      </c>
      <c r="H875" s="54">
        <v>739</v>
      </c>
      <c r="I875" s="54">
        <v>137</v>
      </c>
      <c r="J875" s="54">
        <v>875</v>
      </c>
      <c r="K875" s="54">
        <v>874</v>
      </c>
      <c r="L875" s="54" t="e">
        <v>#N/A</v>
      </c>
      <c r="M875" s="54" t="s">
        <v>156</v>
      </c>
      <c r="N875" s="54" t="s">
        <v>156</v>
      </c>
      <c r="O875" s="54" t="s">
        <v>156</v>
      </c>
    </row>
    <row r="876" spans="1:15" x14ac:dyDescent="0.35">
      <c r="A876" s="59" t="s">
        <v>185</v>
      </c>
      <c r="B876" s="60">
        <v>45529</v>
      </c>
      <c r="C876" s="54">
        <v>111.72576008441185</v>
      </c>
      <c r="D876" s="54">
        <v>111.72576008441185</v>
      </c>
      <c r="E876"/>
      <c r="F876"/>
      <c r="G876" t="e">
        <v>#N/A</v>
      </c>
      <c r="H876" s="54">
        <v>739</v>
      </c>
      <c r="I876" s="54">
        <v>138</v>
      </c>
      <c r="J876" s="54">
        <v>876</v>
      </c>
      <c r="K876" s="54">
        <v>875</v>
      </c>
      <c r="L876" s="54" t="e">
        <v>#N/A</v>
      </c>
      <c r="M876" s="54" t="s">
        <v>156</v>
      </c>
      <c r="N876" s="54" t="s">
        <v>156</v>
      </c>
      <c r="O876" s="54" t="s">
        <v>156</v>
      </c>
    </row>
    <row r="877" spans="1:15" x14ac:dyDescent="0.35">
      <c r="A877" s="59" t="s">
        <v>185</v>
      </c>
      <c r="B877" s="60">
        <v>45536</v>
      </c>
      <c r="C877" s="54">
        <v>118.16071599260864</v>
      </c>
      <c r="D877" s="54">
        <v>118.16071599260864</v>
      </c>
      <c r="E877"/>
      <c r="F877"/>
      <c r="G877" t="e">
        <v>#N/A</v>
      </c>
      <c r="H877" s="54">
        <v>739</v>
      </c>
      <c r="I877" s="54">
        <v>139</v>
      </c>
      <c r="J877" s="54">
        <v>877</v>
      </c>
      <c r="K877" s="54">
        <v>876</v>
      </c>
      <c r="L877" s="54" t="e">
        <v>#N/A</v>
      </c>
      <c r="M877" s="54" t="s">
        <v>156</v>
      </c>
      <c r="N877" s="54" t="s">
        <v>156</v>
      </c>
      <c r="O877" s="54" t="s">
        <v>156</v>
      </c>
    </row>
    <row r="878" spans="1:15" x14ac:dyDescent="0.35">
      <c r="A878" s="59" t="s">
        <v>185</v>
      </c>
      <c r="B878" s="60">
        <v>45543</v>
      </c>
      <c r="C878" s="54">
        <v>125.80195638377765</v>
      </c>
      <c r="D878" s="54">
        <v>125.80195638377765</v>
      </c>
      <c r="E878"/>
      <c r="F878"/>
      <c r="G878" t="e">
        <v>#N/A</v>
      </c>
      <c r="H878" s="54">
        <v>739</v>
      </c>
      <c r="I878" s="54">
        <v>140</v>
      </c>
      <c r="J878" s="54">
        <v>878</v>
      </c>
      <c r="K878" s="54">
        <v>877</v>
      </c>
      <c r="L878" s="54" t="e">
        <v>#N/A</v>
      </c>
      <c r="M878" s="54" t="s">
        <v>156</v>
      </c>
      <c r="N878" s="54" t="s">
        <v>156</v>
      </c>
      <c r="O878" s="54" t="s">
        <v>156</v>
      </c>
    </row>
    <row r="879" spans="1:15" x14ac:dyDescent="0.35">
      <c r="A879" s="59" t="s">
        <v>185</v>
      </c>
      <c r="B879" s="60">
        <v>45550</v>
      </c>
      <c r="C879" s="54">
        <v>123.28077870665581</v>
      </c>
      <c r="D879" s="54">
        <v>123.28077870665581</v>
      </c>
      <c r="E879"/>
      <c r="F879"/>
      <c r="G879" t="e">
        <v>#N/A</v>
      </c>
      <c r="H879" s="54">
        <v>739</v>
      </c>
      <c r="I879" s="54">
        <v>141</v>
      </c>
      <c r="J879" s="54">
        <v>879</v>
      </c>
      <c r="K879" s="54">
        <v>878</v>
      </c>
      <c r="L879" s="54" t="e">
        <v>#N/A</v>
      </c>
      <c r="M879" s="54" t="s">
        <v>156</v>
      </c>
      <c r="N879" s="54" t="s">
        <v>156</v>
      </c>
      <c r="O879" s="54" t="s">
        <v>156</v>
      </c>
    </row>
    <row r="880" spans="1:15" x14ac:dyDescent="0.35">
      <c r="A880" s="59" t="s">
        <v>185</v>
      </c>
      <c r="B880" s="60">
        <v>45557</v>
      </c>
      <c r="C880" s="54">
        <v>129.37265613942515</v>
      </c>
      <c r="D880" s="54">
        <v>129.37265613942515</v>
      </c>
      <c r="E880"/>
      <c r="F880"/>
      <c r="G880" t="e">
        <v>#N/A</v>
      </c>
      <c r="H880" s="54">
        <v>739</v>
      </c>
      <c r="I880" s="54">
        <v>142</v>
      </c>
      <c r="J880" s="54">
        <v>880</v>
      </c>
      <c r="K880" s="54">
        <v>879</v>
      </c>
      <c r="L880" s="54" t="e">
        <v>#N/A</v>
      </c>
      <c r="M880" s="54" t="s">
        <v>156</v>
      </c>
      <c r="N880" s="54" t="s">
        <v>156</v>
      </c>
      <c r="O880" s="54" t="s">
        <v>156</v>
      </c>
    </row>
    <row r="881" spans="1:15" x14ac:dyDescent="0.35">
      <c r="A881" s="59" t="s">
        <v>185</v>
      </c>
      <c r="B881" s="60">
        <v>45564</v>
      </c>
      <c r="C881" s="54">
        <v>121.80348182892133</v>
      </c>
      <c r="D881" s="54">
        <v>121.80348182892133</v>
      </c>
      <c r="E881"/>
      <c r="F881"/>
      <c r="G881" t="e">
        <v>#N/A</v>
      </c>
      <c r="H881" s="54">
        <v>739</v>
      </c>
      <c r="I881" s="54">
        <v>143</v>
      </c>
      <c r="J881" s="54">
        <v>881</v>
      </c>
      <c r="K881" s="54">
        <v>880</v>
      </c>
      <c r="L881" s="54" t="e">
        <v>#N/A</v>
      </c>
      <c r="M881" s="54" t="s">
        <v>156</v>
      </c>
      <c r="N881" s="54" t="s">
        <v>156</v>
      </c>
      <c r="O881" s="54" t="s">
        <v>156</v>
      </c>
    </row>
    <row r="882" spans="1:15" x14ac:dyDescent="0.35">
      <c r="A882" s="59" t="s">
        <v>185</v>
      </c>
      <c r="B882" s="60">
        <v>45571</v>
      </c>
      <c r="C882" s="54">
        <v>122.50946944804976</v>
      </c>
      <c r="D882" s="54">
        <v>122.50946944804976</v>
      </c>
      <c r="E882"/>
      <c r="F882"/>
      <c r="G882" t="e">
        <v>#N/A</v>
      </c>
      <c r="H882" s="54">
        <v>739</v>
      </c>
      <c r="I882" s="54">
        <v>144</v>
      </c>
      <c r="J882" s="54">
        <v>882</v>
      </c>
      <c r="K882" s="54">
        <v>881</v>
      </c>
      <c r="L882" s="54" t="e">
        <v>#N/A</v>
      </c>
      <c r="M882" s="54" t="s">
        <v>156</v>
      </c>
      <c r="N882" s="54" t="s">
        <v>156</v>
      </c>
      <c r="O882" s="54" t="s">
        <v>156</v>
      </c>
    </row>
    <row r="883" spans="1:15" x14ac:dyDescent="0.35">
      <c r="A883" s="59" t="s">
        <v>185</v>
      </c>
      <c r="B883" s="60">
        <v>45578</v>
      </c>
      <c r="C883" s="54">
        <v>115.50962141371055</v>
      </c>
      <c r="D883" s="54">
        <v>115.50962141371055</v>
      </c>
      <c r="E883"/>
      <c r="F883"/>
      <c r="G883" t="e">
        <v>#N/A</v>
      </c>
      <c r="H883" s="54">
        <v>739</v>
      </c>
      <c r="I883" s="54">
        <v>145</v>
      </c>
      <c r="J883" s="54">
        <v>883</v>
      </c>
      <c r="K883" s="54">
        <v>882</v>
      </c>
      <c r="L883" s="54" t="e">
        <v>#N/A</v>
      </c>
      <c r="M883" s="54" t="s">
        <v>156</v>
      </c>
      <c r="N883" s="54" t="s">
        <v>156</v>
      </c>
      <c r="O883" s="54" t="s">
        <v>156</v>
      </c>
    </row>
    <row r="884" spans="1:15" x14ac:dyDescent="0.35">
      <c r="A884" s="59" t="s">
        <v>185</v>
      </c>
      <c r="B884" s="60">
        <v>45585</v>
      </c>
      <c r="C884" s="54">
        <v>124.51695788041695</v>
      </c>
      <c r="D884" s="54">
        <v>124.51695788041695</v>
      </c>
      <c r="E884"/>
      <c r="F884"/>
      <c r="G884" t="e">
        <v>#N/A</v>
      </c>
      <c r="H884" s="54">
        <v>739</v>
      </c>
      <c r="I884" s="54">
        <v>146</v>
      </c>
      <c r="J884" s="54">
        <v>884</v>
      </c>
      <c r="K884" s="54">
        <v>883</v>
      </c>
      <c r="L884" s="54" t="e">
        <v>#N/A</v>
      </c>
      <c r="M884" s="54" t="s">
        <v>156</v>
      </c>
      <c r="N884" s="54" t="s">
        <v>156</v>
      </c>
      <c r="O884" s="54" t="s">
        <v>156</v>
      </c>
    </row>
    <row r="885" spans="1:15" x14ac:dyDescent="0.35">
      <c r="A885" s="59" t="s">
        <v>185</v>
      </c>
      <c r="B885" s="60">
        <v>45592</v>
      </c>
      <c r="C885" s="54">
        <v>124.28753199191935</v>
      </c>
      <c r="D885" s="54">
        <v>124.28753199191935</v>
      </c>
      <c r="E885"/>
      <c r="F885"/>
      <c r="G885" t="e">
        <v>#N/A</v>
      </c>
      <c r="H885" s="54">
        <v>739</v>
      </c>
      <c r="I885" s="54">
        <v>147</v>
      </c>
      <c r="J885" s="54">
        <v>885</v>
      </c>
      <c r="K885" s="54">
        <v>884</v>
      </c>
      <c r="L885" s="54" t="e">
        <v>#N/A</v>
      </c>
      <c r="M885" s="54" t="s">
        <v>156</v>
      </c>
      <c r="N885" s="54" t="s">
        <v>156</v>
      </c>
      <c r="O885" s="54" t="s">
        <v>156</v>
      </c>
    </row>
    <row r="886" spans="1:15" x14ac:dyDescent="0.35">
      <c r="A886" s="59" t="s">
        <v>185</v>
      </c>
      <c r="B886" s="60">
        <v>45599</v>
      </c>
      <c r="C886" s="54">
        <v>125.79332183191732</v>
      </c>
      <c r="D886" s="54">
        <v>125.79332183191732</v>
      </c>
      <c r="E886"/>
      <c r="F886"/>
      <c r="G886" t="e">
        <v>#N/A</v>
      </c>
      <c r="H886" s="54">
        <v>739</v>
      </c>
      <c r="I886" s="54">
        <v>148</v>
      </c>
      <c r="J886" s="54">
        <v>886</v>
      </c>
      <c r="K886" s="54">
        <v>885</v>
      </c>
      <c r="L886" s="54" t="e">
        <v>#N/A</v>
      </c>
      <c r="M886" s="54" t="s">
        <v>156</v>
      </c>
      <c r="N886" s="54" t="s">
        <v>156</v>
      </c>
      <c r="O886" s="54" t="s">
        <v>156</v>
      </c>
    </row>
    <row r="887" spans="1:15" x14ac:dyDescent="0.35">
      <c r="A887" s="59" t="s">
        <v>185</v>
      </c>
      <c r="B887" s="60">
        <v>45606</v>
      </c>
      <c r="C887" s="54">
        <v>117.72847923856845</v>
      </c>
      <c r="D887" s="54">
        <v>117.72847923856845</v>
      </c>
      <c r="E887"/>
      <c r="F887"/>
      <c r="G887" t="e">
        <v>#N/A</v>
      </c>
      <c r="H887" s="54">
        <v>739</v>
      </c>
      <c r="I887" s="54">
        <v>149</v>
      </c>
      <c r="J887" s="54">
        <v>887</v>
      </c>
      <c r="K887" s="54">
        <v>886</v>
      </c>
      <c r="L887" s="54" t="e">
        <v>#N/A</v>
      </c>
      <c r="M887" s="54" t="s">
        <v>156</v>
      </c>
      <c r="N887" s="54" t="s">
        <v>156</v>
      </c>
      <c r="O887" s="54" t="s">
        <v>156</v>
      </c>
    </row>
    <row r="888" spans="1:15" x14ac:dyDescent="0.35">
      <c r="A888" s="59" t="s">
        <v>185</v>
      </c>
      <c r="B888" s="60">
        <v>45613</v>
      </c>
      <c r="C888" s="54">
        <v>132.26153560205523</v>
      </c>
      <c r="D888" s="54">
        <v>132.26153560205523</v>
      </c>
      <c r="E888"/>
      <c r="F888"/>
      <c r="G888" t="e">
        <v>#N/A</v>
      </c>
      <c r="H888" s="54">
        <v>739</v>
      </c>
      <c r="I888" s="54">
        <v>150</v>
      </c>
      <c r="J888" s="54">
        <v>888</v>
      </c>
      <c r="K888" s="54">
        <v>887</v>
      </c>
      <c r="L888" s="54" t="e">
        <v>#N/A</v>
      </c>
      <c r="M888" s="54" t="s">
        <v>156</v>
      </c>
      <c r="N888" s="54" t="s">
        <v>156</v>
      </c>
      <c r="O888" s="54" t="s">
        <v>156</v>
      </c>
    </row>
    <row r="889" spans="1:15" x14ac:dyDescent="0.35">
      <c r="A889" s="59" t="s">
        <v>185</v>
      </c>
      <c r="B889" s="60">
        <v>45620</v>
      </c>
      <c r="C889" s="54">
        <v>117.40097816436639</v>
      </c>
      <c r="D889" s="54">
        <v>117.40097816436639</v>
      </c>
      <c r="E889"/>
      <c r="F889"/>
      <c r="G889" t="e">
        <v>#N/A</v>
      </c>
      <c r="H889" s="54">
        <v>739</v>
      </c>
      <c r="I889" s="54">
        <v>151</v>
      </c>
      <c r="J889" s="54">
        <v>889</v>
      </c>
      <c r="K889" s="54">
        <v>888</v>
      </c>
      <c r="L889" s="54" t="e">
        <v>#N/A</v>
      </c>
      <c r="M889" s="54" t="s">
        <v>156</v>
      </c>
      <c r="N889" s="54" t="s">
        <v>156</v>
      </c>
      <c r="O889" s="54" t="s">
        <v>156</v>
      </c>
    </row>
    <row r="890" spans="1:15" x14ac:dyDescent="0.35">
      <c r="A890" s="59" t="s">
        <v>185</v>
      </c>
      <c r="B890" s="60">
        <v>45627</v>
      </c>
      <c r="C890" s="54">
        <v>116.73310473777565</v>
      </c>
      <c r="D890" s="54">
        <v>116.73310473777565</v>
      </c>
      <c r="E890"/>
      <c r="F890"/>
      <c r="G890" t="e">
        <v>#N/A</v>
      </c>
      <c r="H890" s="54">
        <v>739</v>
      </c>
      <c r="I890" s="54">
        <v>152</v>
      </c>
      <c r="J890" s="54">
        <v>890</v>
      </c>
      <c r="K890" s="54">
        <v>889</v>
      </c>
      <c r="L890" s="54" t="e">
        <v>#N/A</v>
      </c>
      <c r="M890" s="54" t="s">
        <v>156</v>
      </c>
      <c r="N890" s="54" t="s">
        <v>156</v>
      </c>
      <c r="O890" s="54" t="s">
        <v>156</v>
      </c>
    </row>
    <row r="891" spans="1:15" x14ac:dyDescent="0.35">
      <c r="A891" s="59" t="s">
        <v>185</v>
      </c>
      <c r="B891" s="60">
        <v>45634</v>
      </c>
      <c r="C891" s="54">
        <v>116.99460998003534</v>
      </c>
      <c r="D891" s="54">
        <v>116.99460998003534</v>
      </c>
      <c r="E891"/>
      <c r="F891"/>
      <c r="G891" t="e">
        <v>#N/A</v>
      </c>
      <c r="H891" s="54">
        <v>739</v>
      </c>
      <c r="I891" s="54">
        <v>153</v>
      </c>
      <c r="J891" s="54">
        <v>891</v>
      </c>
      <c r="K891" s="54">
        <v>890</v>
      </c>
      <c r="L891" s="54" t="e">
        <v>#N/A</v>
      </c>
      <c r="M891" s="54" t="s">
        <v>156</v>
      </c>
      <c r="N891" s="54" t="s">
        <v>156</v>
      </c>
      <c r="O891" s="54" t="s">
        <v>156</v>
      </c>
    </row>
    <row r="892" spans="1:15" x14ac:dyDescent="0.35">
      <c r="A892" s="59" t="s">
        <v>185</v>
      </c>
      <c r="B892" s="60">
        <v>45641</v>
      </c>
      <c r="C892" s="54">
        <v>116.21155206730414</v>
      </c>
      <c r="D892" s="54">
        <v>116.21155206730414</v>
      </c>
      <c r="E892"/>
      <c r="F892"/>
      <c r="G892" t="e">
        <v>#N/A</v>
      </c>
      <c r="H892" s="54">
        <v>739</v>
      </c>
      <c r="I892" s="54">
        <v>154</v>
      </c>
      <c r="J892" s="54">
        <v>892</v>
      </c>
      <c r="K892" s="54">
        <v>891</v>
      </c>
      <c r="L892" s="54" t="e">
        <v>#N/A</v>
      </c>
      <c r="M892" s="54" t="s">
        <v>156</v>
      </c>
      <c r="N892" s="54" t="s">
        <v>156</v>
      </c>
      <c r="O892" s="54" t="s">
        <v>156</v>
      </c>
    </row>
    <row r="893" spans="1:15" x14ac:dyDescent="0.35">
      <c r="A893" s="59" t="s">
        <v>185</v>
      </c>
      <c r="B893" s="60">
        <v>45648</v>
      </c>
      <c r="C893" s="54">
        <v>116.51705837582284</v>
      </c>
      <c r="D893" s="54">
        <v>116.51705837582284</v>
      </c>
      <c r="E893"/>
      <c r="F893"/>
      <c r="G893" t="e">
        <v>#N/A</v>
      </c>
      <c r="H893" s="54">
        <v>739</v>
      </c>
      <c r="I893" s="54">
        <v>155</v>
      </c>
      <c r="J893" s="54">
        <v>893</v>
      </c>
      <c r="K893" s="54">
        <v>892</v>
      </c>
      <c r="L893" s="54" t="e">
        <v>#N/A</v>
      </c>
      <c r="M893" s="54" t="s">
        <v>156</v>
      </c>
      <c r="N893" s="54" t="s">
        <v>156</v>
      </c>
      <c r="O893" s="54" t="s">
        <v>156</v>
      </c>
    </row>
    <row r="894" spans="1:15" x14ac:dyDescent="0.35">
      <c r="A894" s="59" t="s">
        <v>185</v>
      </c>
      <c r="B894" s="60">
        <v>45655</v>
      </c>
      <c r="C894" s="54">
        <v>116.72656571158225</v>
      </c>
      <c r="D894" s="54">
        <v>116.72656571158225</v>
      </c>
      <c r="E894"/>
      <c r="F894"/>
      <c r="G894" t="e">
        <v>#N/A</v>
      </c>
      <c r="H894" s="54">
        <v>739</v>
      </c>
      <c r="I894" s="54">
        <v>156</v>
      </c>
      <c r="J894" s="54">
        <v>894</v>
      </c>
      <c r="K894" s="54">
        <v>893</v>
      </c>
      <c r="L894" s="54" t="e">
        <v>#N/A</v>
      </c>
      <c r="M894" s="54" t="s">
        <v>156</v>
      </c>
      <c r="N894" s="54" t="s">
        <v>156</v>
      </c>
      <c r="O894" s="54" t="s">
        <v>156</v>
      </c>
    </row>
    <row r="895" spans="1:15" x14ac:dyDescent="0.35">
      <c r="A895" s="59" t="s">
        <v>185</v>
      </c>
      <c r="B895" s="60">
        <v>45662</v>
      </c>
      <c r="C895" s="54">
        <v>116.46917410746666</v>
      </c>
      <c r="D895" s="54"/>
      <c r="E895">
        <v>116.46917410746666</v>
      </c>
      <c r="F895">
        <v>116.52203570208862</v>
      </c>
      <c r="G895">
        <v>120.84755712105814</v>
      </c>
      <c r="H895" s="54">
        <v>739</v>
      </c>
      <c r="I895" s="54" t="s">
        <v>156</v>
      </c>
      <c r="J895" s="54">
        <v>894</v>
      </c>
      <c r="K895" s="54">
        <v>894</v>
      </c>
      <c r="L895" s="54">
        <v>117.10902563066412</v>
      </c>
      <c r="M895" s="54">
        <v>0.63985152319746419</v>
      </c>
      <c r="N895" s="54">
        <v>5.286159462195883E-2</v>
      </c>
      <c r="O895" s="54">
        <v>4.3783830135914883</v>
      </c>
    </row>
    <row r="896" spans="1:15" x14ac:dyDescent="0.35">
      <c r="A896" s="59" t="s">
        <v>185</v>
      </c>
      <c r="B896" s="60">
        <v>45669</v>
      </c>
      <c r="C896" s="54">
        <v>116.863128220614</v>
      </c>
      <c r="D896" s="54"/>
      <c r="E896">
        <v>116.863128220614</v>
      </c>
      <c r="F896">
        <v>116.57741386868459</v>
      </c>
      <c r="G896">
        <v>116.83506123737037</v>
      </c>
      <c r="H896" s="54">
        <v>739</v>
      </c>
      <c r="I896" s="54" t="s">
        <v>156</v>
      </c>
      <c r="J896" s="54">
        <v>894</v>
      </c>
      <c r="K896" s="54">
        <v>895</v>
      </c>
      <c r="L896" s="54">
        <v>117.34311146150286</v>
      </c>
      <c r="M896" s="54">
        <v>0.47998324088885624</v>
      </c>
      <c r="N896" s="54">
        <v>0.28571435192941408</v>
      </c>
      <c r="O896" s="54">
        <v>2.8066983243633103E-2</v>
      </c>
    </row>
    <row r="897" spans="1:15" x14ac:dyDescent="0.35">
      <c r="A897" s="59" t="s">
        <v>185</v>
      </c>
      <c r="B897" s="60">
        <v>45676</v>
      </c>
      <c r="C897" s="54">
        <v>117.26663925573639</v>
      </c>
      <c r="D897" s="54"/>
      <c r="E897">
        <v>117.26663925573639</v>
      </c>
      <c r="F897">
        <v>116.63402937597562</v>
      </c>
      <c r="G897">
        <v>116.61408129023449</v>
      </c>
      <c r="H897" s="54">
        <v>739</v>
      </c>
      <c r="I897" s="54" t="s">
        <v>156</v>
      </c>
      <c r="J897" s="54">
        <v>894</v>
      </c>
      <c r="K897" s="54">
        <v>896</v>
      </c>
      <c r="L897" s="54">
        <v>117.469712111234</v>
      </c>
      <c r="M897" s="54">
        <v>0.20307285549760934</v>
      </c>
      <c r="N897" s="54">
        <v>0.63260987976077843</v>
      </c>
      <c r="O897" s="54">
        <v>0.65255796550189871</v>
      </c>
    </row>
    <row r="898" spans="1:15" x14ac:dyDescent="0.35">
      <c r="A898" s="59" t="s">
        <v>185</v>
      </c>
      <c r="B898" s="60">
        <v>45683</v>
      </c>
      <c r="C898" s="54">
        <v>117.67995386577647</v>
      </c>
      <c r="D898" s="54"/>
      <c r="E898">
        <v>117.67995386577647</v>
      </c>
      <c r="F898">
        <v>116.69281400390024</v>
      </c>
      <c r="G898">
        <v>116.61244653368615</v>
      </c>
      <c r="H898" s="54">
        <v>739</v>
      </c>
      <c r="I898" s="54" t="s">
        <v>156</v>
      </c>
      <c r="J898" s="54">
        <v>894</v>
      </c>
      <c r="K898" s="54">
        <v>897</v>
      </c>
      <c r="L898" s="54">
        <v>117.55286176924622</v>
      </c>
      <c r="M898" s="54">
        <v>0.127092096530248</v>
      </c>
      <c r="N898" s="54">
        <v>0.98713986187622993</v>
      </c>
      <c r="O898" s="54">
        <v>1.0675073320903152</v>
      </c>
    </row>
    <row r="899" spans="1:15" x14ac:dyDescent="0.35">
      <c r="A899" s="59" t="s">
        <v>185</v>
      </c>
      <c r="B899" s="60">
        <v>45690</v>
      </c>
      <c r="C899" s="54">
        <v>118.10331962747267</v>
      </c>
      <c r="D899" s="54"/>
      <c r="E899">
        <v>118.10331962747267</v>
      </c>
      <c r="F899">
        <v>116.75110013037678</v>
      </c>
      <c r="G899">
        <v>116.48108756554396</v>
      </c>
      <c r="H899" s="54">
        <v>739</v>
      </c>
      <c r="I899" s="54" t="s">
        <v>156</v>
      </c>
      <c r="J899" s="54">
        <v>894</v>
      </c>
      <c r="K899" s="54">
        <v>898</v>
      </c>
      <c r="L899" s="54">
        <v>117.61781006008128</v>
      </c>
      <c r="M899" s="54">
        <v>0.4855095673913894</v>
      </c>
      <c r="N899" s="54">
        <v>1.3522194970958878</v>
      </c>
      <c r="O899" s="54">
        <v>1.6222320619287132</v>
      </c>
    </row>
    <row r="900" spans="1:15" x14ac:dyDescent="0.35">
      <c r="A900" s="59" t="s">
        <v>185</v>
      </c>
      <c r="B900" s="60">
        <v>45697</v>
      </c>
      <c r="C900" s="54">
        <v>118.53718273390565</v>
      </c>
      <c r="D900" s="54"/>
      <c r="E900">
        <v>118.53718273390565</v>
      </c>
      <c r="F900">
        <v>116.816938524447</v>
      </c>
      <c r="G900">
        <v>116.64398160387144</v>
      </c>
      <c r="H900" s="54">
        <v>739</v>
      </c>
      <c r="I900" s="54" t="s">
        <v>156</v>
      </c>
      <c r="J900" s="54">
        <v>894</v>
      </c>
      <c r="K900" s="54">
        <v>899</v>
      </c>
      <c r="L900" s="54">
        <v>117.69713731087987</v>
      </c>
      <c r="M900" s="54">
        <v>0.840045423025785</v>
      </c>
      <c r="N900" s="54">
        <v>1.7202442094586559</v>
      </c>
      <c r="O900" s="54">
        <v>1.893201130034214</v>
      </c>
    </row>
    <row r="901" spans="1:15" x14ac:dyDescent="0.35">
      <c r="A901" s="59" t="s">
        <v>185</v>
      </c>
      <c r="B901" s="60">
        <v>45704</v>
      </c>
      <c r="C901" s="54">
        <v>118.98157220686822</v>
      </c>
      <c r="D901" s="54"/>
      <c r="E901">
        <v>118.98157220686822</v>
      </c>
      <c r="F901">
        <v>116.9270567674688</v>
      </c>
      <c r="G901">
        <v>116.83137682384982</v>
      </c>
      <c r="H901" s="54">
        <v>739</v>
      </c>
      <c r="I901" s="54" t="s">
        <v>156</v>
      </c>
      <c r="J901" s="54">
        <v>894</v>
      </c>
      <c r="K901" s="54">
        <v>900</v>
      </c>
      <c r="L901" s="54">
        <v>117.80595474327497</v>
      </c>
      <c r="M901" s="54">
        <v>1.1756174635932553</v>
      </c>
      <c r="N901" s="54">
        <v>2.0545154393994238</v>
      </c>
      <c r="O901" s="54">
        <v>2.1501953830183993</v>
      </c>
    </row>
    <row r="902" spans="1:15" x14ac:dyDescent="0.35">
      <c r="A902" s="59" t="s">
        <v>185</v>
      </c>
      <c r="B902" s="60">
        <v>45711</v>
      </c>
      <c r="C902" s="54">
        <v>119.43641605432227</v>
      </c>
      <c r="D902" s="54"/>
      <c r="E902">
        <v>119.43641605432227</v>
      </c>
      <c r="F902">
        <v>116.93977705639669</v>
      </c>
      <c r="G902">
        <v>117.06972386239838</v>
      </c>
      <c r="H902" s="54">
        <v>739</v>
      </c>
      <c r="I902" s="54" t="s">
        <v>156</v>
      </c>
      <c r="J902" s="54">
        <v>894</v>
      </c>
      <c r="K902" s="54">
        <v>901</v>
      </c>
      <c r="L902" s="54">
        <v>117.85920641149502</v>
      </c>
      <c r="M902" s="54">
        <v>1.577209642827242</v>
      </c>
      <c r="N902" s="54">
        <v>2.4966389979255723</v>
      </c>
      <c r="O902" s="54">
        <v>2.3666921919238888</v>
      </c>
    </row>
    <row r="903" spans="1:15" x14ac:dyDescent="0.35">
      <c r="A903" s="59" t="s">
        <v>185</v>
      </c>
      <c r="B903" s="60">
        <v>45718</v>
      </c>
      <c r="C903" s="54">
        <v>119.9040689326541</v>
      </c>
      <c r="D903" s="54"/>
      <c r="E903">
        <v>119.9040689326541</v>
      </c>
      <c r="F903">
        <v>117.04190362172079</v>
      </c>
      <c r="G903">
        <v>117.47826024239988</v>
      </c>
      <c r="H903" s="54">
        <v>739</v>
      </c>
      <c r="I903" s="54" t="s">
        <v>156</v>
      </c>
      <c r="J903" s="54">
        <v>894</v>
      </c>
      <c r="K903" s="54">
        <v>902</v>
      </c>
      <c r="L903" s="54">
        <v>117.9505622223294</v>
      </c>
      <c r="M903" s="54">
        <v>1.953506710324703</v>
      </c>
      <c r="N903" s="54">
        <v>2.8621653109333067</v>
      </c>
      <c r="O903" s="54">
        <v>2.4258086902542146</v>
      </c>
    </row>
    <row r="904" spans="1:15" x14ac:dyDescent="0.35">
      <c r="A904" s="59" t="s">
        <v>185</v>
      </c>
      <c r="B904" s="60">
        <v>45725</v>
      </c>
      <c r="C904" s="54">
        <v>120.68297494330551</v>
      </c>
      <c r="D904" s="54"/>
      <c r="E904">
        <v>120.68297494330551</v>
      </c>
      <c r="F904">
        <v>117.16154978484508</v>
      </c>
      <c r="G904">
        <v>117.8967738707228</v>
      </c>
      <c r="H904" s="54">
        <v>739</v>
      </c>
      <c r="I904" s="54" t="s">
        <v>156</v>
      </c>
      <c r="J904" s="54">
        <v>894</v>
      </c>
      <c r="K904" s="54">
        <v>903</v>
      </c>
      <c r="L904" s="54">
        <v>117.94245718730048</v>
      </c>
      <c r="M904" s="54">
        <v>2.7405177560050333</v>
      </c>
      <c r="N904" s="54">
        <v>3.5214251584604312</v>
      </c>
      <c r="O904" s="54">
        <v>2.7862010725827133</v>
      </c>
    </row>
    <row r="905" spans="1:15" x14ac:dyDescent="0.35">
      <c r="A905" s="59" t="s">
        <v>185</v>
      </c>
      <c r="B905" s="60">
        <v>45732</v>
      </c>
      <c r="C905" s="54">
        <v>120.871522111524</v>
      </c>
      <c r="D905" s="54"/>
      <c r="E905">
        <v>120.871522111524</v>
      </c>
      <c r="F905">
        <v>117.27836473740606</v>
      </c>
      <c r="G905">
        <v>118.32550710850576</v>
      </c>
      <c r="H905" s="54">
        <v>739</v>
      </c>
      <c r="I905" s="54" t="s">
        <v>156</v>
      </c>
      <c r="J905" s="54">
        <v>894</v>
      </c>
      <c r="K905" s="54">
        <v>904</v>
      </c>
      <c r="L905" s="54">
        <v>118.01225562804028</v>
      </c>
      <c r="M905" s="54">
        <v>2.8592664834837223</v>
      </c>
      <c r="N905" s="54">
        <v>3.5931573741179363</v>
      </c>
      <c r="O905" s="54">
        <v>2.5460150030182405</v>
      </c>
    </row>
    <row r="906" spans="1:15" x14ac:dyDescent="0.35">
      <c r="A906" s="59" t="s">
        <v>185</v>
      </c>
      <c r="B906" s="60">
        <v>45739</v>
      </c>
      <c r="C906" s="54">
        <v>123.00450755942482</v>
      </c>
      <c r="D906" s="54"/>
      <c r="E906">
        <v>123.00450755942482</v>
      </c>
      <c r="F906">
        <v>118.79678989209118</v>
      </c>
      <c r="G906">
        <v>118.7646226556422</v>
      </c>
      <c r="H906" s="54">
        <v>739</v>
      </c>
      <c r="I906" s="54" t="s">
        <v>156</v>
      </c>
      <c r="J906" s="54">
        <v>894</v>
      </c>
      <c r="K906" s="54">
        <v>905</v>
      </c>
      <c r="L906" s="54">
        <v>120.58794192988701</v>
      </c>
      <c r="M906" s="54">
        <v>2.4165656295378142</v>
      </c>
      <c r="N906" s="54">
        <v>4.2077176673336396</v>
      </c>
      <c r="O906" s="54">
        <v>4.2398849037826238</v>
      </c>
    </row>
    <row r="907" spans="1:15" x14ac:dyDescent="0.35">
      <c r="A907" s="59" t="s">
        <v>185</v>
      </c>
      <c r="B907" s="60">
        <v>45746</v>
      </c>
      <c r="C907" s="54">
        <v>122.69226921553449</v>
      </c>
      <c r="D907" s="54"/>
      <c r="E907">
        <v>122.69226921553449</v>
      </c>
      <c r="F907">
        <v>119.04210691472582</v>
      </c>
      <c r="G907">
        <v>119.21480998193755</v>
      </c>
      <c r="H907" s="54">
        <v>739</v>
      </c>
      <c r="I907" s="54" t="s">
        <v>156</v>
      </c>
      <c r="J907" s="54">
        <v>894</v>
      </c>
      <c r="K907" s="54">
        <v>906</v>
      </c>
      <c r="L907" s="54">
        <v>120.18145853297143</v>
      </c>
      <c r="M907" s="54">
        <v>2.5108106825630614</v>
      </c>
      <c r="N907" s="54">
        <v>3.6501623008086739</v>
      </c>
      <c r="O907" s="54">
        <v>3.4774592335969459</v>
      </c>
    </row>
    <row r="908" spans="1:15" x14ac:dyDescent="0.35">
      <c r="A908" s="59" t="s">
        <v>185</v>
      </c>
      <c r="B908" s="60">
        <v>45753</v>
      </c>
      <c r="C908" s="54">
        <v>125.42998438804857</v>
      </c>
      <c r="D908" s="54"/>
      <c r="E908">
        <v>125.42998438804857</v>
      </c>
      <c r="F908">
        <v>120.28162481581347</v>
      </c>
      <c r="G908">
        <v>119.75125803428752</v>
      </c>
      <c r="H908" s="54">
        <v>739</v>
      </c>
      <c r="I908" s="54" t="s">
        <v>156</v>
      </c>
      <c r="J908" s="54">
        <v>894</v>
      </c>
      <c r="K908" s="54">
        <v>907</v>
      </c>
      <c r="L908" s="54">
        <v>119.26652030711752</v>
      </c>
      <c r="M908" s="54">
        <v>6.1634640809310497</v>
      </c>
      <c r="N908" s="54">
        <v>5.1483595722350941</v>
      </c>
      <c r="O908" s="54">
        <v>5.6787263537610499</v>
      </c>
    </row>
    <row r="909" spans="1:15" x14ac:dyDescent="0.35">
      <c r="A909" s="59" t="s">
        <v>185</v>
      </c>
      <c r="B909" s="60">
        <v>45760</v>
      </c>
      <c r="C909" s="54">
        <v>138.29796913450576</v>
      </c>
      <c r="D909" s="54"/>
      <c r="E909">
        <v>138.29796913450576</v>
      </c>
      <c r="F909">
        <v>120.94635910650754</v>
      </c>
      <c r="G909">
        <v>120.22374551045147</v>
      </c>
      <c r="H909" s="54">
        <v>739</v>
      </c>
      <c r="I909" s="54" t="s">
        <v>156</v>
      </c>
      <c r="J909" s="54">
        <v>894</v>
      </c>
      <c r="K909" s="54">
        <v>908</v>
      </c>
      <c r="L909" s="54">
        <v>120.31276320138065</v>
      </c>
      <c r="M909" s="54">
        <v>17.985205933125116</v>
      </c>
      <c r="N909" s="54">
        <v>17.35161002799822</v>
      </c>
      <c r="O909" s="54">
        <v>18.074223624054298</v>
      </c>
    </row>
    <row r="910" spans="1:15" x14ac:dyDescent="0.35">
      <c r="A910" s="59" t="s">
        <v>185</v>
      </c>
      <c r="B910" s="60">
        <v>45767</v>
      </c>
      <c r="C910" s="54">
        <v>134.52006630125607</v>
      </c>
      <c r="D910" s="54"/>
      <c r="E910">
        <v>134.52006630125607</v>
      </c>
      <c r="F910">
        <v>136.57978923120584</v>
      </c>
      <c r="G910">
        <v>121.11576838672711</v>
      </c>
      <c r="H910" s="54">
        <v>739</v>
      </c>
      <c r="I910" s="54" t="s">
        <v>156</v>
      </c>
      <c r="J910" s="54">
        <v>894</v>
      </c>
      <c r="K910" s="54">
        <v>909</v>
      </c>
      <c r="L910" s="54">
        <v>136.03647143487552</v>
      </c>
      <c r="M910" s="54">
        <v>1.5164051336194575</v>
      </c>
      <c r="N910" s="54">
        <v>2.0597229299497712</v>
      </c>
      <c r="O910" s="54">
        <v>13.404297914528954</v>
      </c>
    </row>
    <row r="911" spans="1:15" x14ac:dyDescent="0.35">
      <c r="A911" s="59" t="s">
        <v>185</v>
      </c>
      <c r="B911" s="60">
        <v>45774</v>
      </c>
      <c r="C911" s="54">
        <v>151.85570406386188</v>
      </c>
      <c r="D911" s="54"/>
      <c r="E911">
        <v>151.85570406386188</v>
      </c>
      <c r="F911">
        <v>132.59147965027944</v>
      </c>
      <c r="G911">
        <v>121.81281845744721</v>
      </c>
      <c r="H911" s="54">
        <v>739</v>
      </c>
      <c r="I911" s="54" t="s">
        <v>156</v>
      </c>
      <c r="J911" s="54">
        <v>894</v>
      </c>
      <c r="K911" s="54">
        <v>910</v>
      </c>
      <c r="L911" s="54">
        <v>134.71907366523271</v>
      </c>
      <c r="M911" s="54">
        <v>17.136630398629165</v>
      </c>
      <c r="N911" s="54">
        <v>19.26422441358244</v>
      </c>
      <c r="O911" s="54">
        <v>30.042885606414671</v>
      </c>
    </row>
    <row r="912" spans="1:15" x14ac:dyDescent="0.35">
      <c r="A912" s="59" t="s">
        <v>185</v>
      </c>
      <c r="B912" s="60">
        <v>45781</v>
      </c>
      <c r="C912" s="54">
        <v>142.34734026554167</v>
      </c>
      <c r="D912" s="54"/>
      <c r="E912">
        <v>142.34734026554167</v>
      </c>
      <c r="F912">
        <v>133.61679287531084</v>
      </c>
      <c r="G912">
        <v>122.99957081863298</v>
      </c>
      <c r="H912" s="54">
        <v>739</v>
      </c>
      <c r="I912" s="54" t="s">
        <v>156</v>
      </c>
      <c r="J912" s="54">
        <v>894</v>
      </c>
      <c r="K912" s="54">
        <v>911</v>
      </c>
      <c r="L912" s="54">
        <v>136.2684413056719</v>
      </c>
      <c r="M912" s="54">
        <v>6.0788989598697754</v>
      </c>
      <c r="N912" s="54">
        <v>8.7305473902308393</v>
      </c>
      <c r="O912" s="54">
        <v>19.3477694469087</v>
      </c>
    </row>
    <row r="913" spans="1:15" x14ac:dyDescent="0.35">
      <c r="A913" s="59" t="s">
        <v>185</v>
      </c>
      <c r="B913" s="60">
        <v>45788</v>
      </c>
      <c r="C913" s="54">
        <v>144.60157074753866</v>
      </c>
      <c r="D913" s="54"/>
      <c r="E913">
        <v>144.60157074753866</v>
      </c>
      <c r="F913">
        <v>137.25503084334326</v>
      </c>
      <c r="G913">
        <v>127.35618257437841</v>
      </c>
      <c r="H913" s="54">
        <v>739</v>
      </c>
      <c r="I913" s="54" t="s">
        <v>156</v>
      </c>
      <c r="J913" s="54">
        <v>894</v>
      </c>
      <c r="K913" s="54">
        <v>912</v>
      </c>
      <c r="L913" s="54">
        <v>137.79229019772754</v>
      </c>
      <c r="M913" s="54">
        <v>6.8092805498111204</v>
      </c>
      <c r="N913" s="54">
        <v>7.3465399041953958</v>
      </c>
      <c r="O913" s="54">
        <v>17.245388173160251</v>
      </c>
    </row>
    <row r="914" spans="1:15" x14ac:dyDescent="0.35">
      <c r="A914" s="59" t="s">
        <v>185</v>
      </c>
      <c r="B914" s="60">
        <v>45795</v>
      </c>
      <c r="C914" s="54">
        <v>140.08766324903991</v>
      </c>
      <c r="D914" s="54"/>
      <c r="E914">
        <v>140.08766324903991</v>
      </c>
      <c r="F914">
        <v>145.37903398930467</v>
      </c>
      <c r="G914">
        <v>130.23507225983622</v>
      </c>
      <c r="H914" s="54">
        <v>739</v>
      </c>
      <c r="I914" s="54" t="s">
        <v>156</v>
      </c>
      <c r="J914" s="54">
        <v>894</v>
      </c>
      <c r="K914" s="54">
        <v>913</v>
      </c>
      <c r="L914" s="54">
        <v>149.66108640620257</v>
      </c>
      <c r="M914" s="54">
        <v>9.5734231571626651</v>
      </c>
      <c r="N914" s="54">
        <v>5.2913707402647674</v>
      </c>
      <c r="O914" s="54">
        <v>9.8525909892036907</v>
      </c>
    </row>
    <row r="915" spans="1:15" x14ac:dyDescent="0.35">
      <c r="A915" s="59" t="s">
        <v>185</v>
      </c>
      <c r="B915" s="60">
        <v>45802</v>
      </c>
      <c r="C915" s="54">
        <v>149.32364665703349</v>
      </c>
      <c r="D915" s="54"/>
      <c r="E915">
        <v>149.32364665703349</v>
      </c>
      <c r="F915">
        <v>141.96835192908134</v>
      </c>
      <c r="G915">
        <v>137.52593097191806</v>
      </c>
      <c r="H915" s="54">
        <v>739</v>
      </c>
      <c r="I915" s="54" t="s">
        <v>156</v>
      </c>
      <c r="J915" s="54">
        <v>894</v>
      </c>
      <c r="K915" s="54">
        <v>914</v>
      </c>
      <c r="L915" s="54">
        <v>145.35607307262902</v>
      </c>
      <c r="M915" s="54">
        <v>3.9675735844044766</v>
      </c>
      <c r="N915" s="54">
        <v>7.3552947279521561</v>
      </c>
      <c r="O915" s="54">
        <v>11.797715685115435</v>
      </c>
    </row>
    <row r="916" spans="1:15" x14ac:dyDescent="0.35">
      <c r="A916" s="59" t="s">
        <v>185</v>
      </c>
      <c r="B916" s="60">
        <v>45809</v>
      </c>
      <c r="C916" s="54">
        <v>143.29859139526107</v>
      </c>
      <c r="D916" s="54"/>
      <c r="E916">
        <v>143.29859139526107</v>
      </c>
      <c r="F916">
        <v>137.79488942713161</v>
      </c>
      <c r="G916">
        <v>141.75526994129135</v>
      </c>
      <c r="H916" s="54">
        <v>739</v>
      </c>
      <c r="I916" s="54" t="s">
        <v>156</v>
      </c>
      <c r="J916" s="54">
        <v>894</v>
      </c>
      <c r="K916" s="54">
        <v>915</v>
      </c>
      <c r="L916" s="54">
        <v>136.14342582606179</v>
      </c>
      <c r="M916" s="54">
        <v>7.1551655691992835</v>
      </c>
      <c r="N916" s="54">
        <v>5.5037019681294623</v>
      </c>
      <c r="O916" s="54">
        <v>1.5433214539697246</v>
      </c>
    </row>
    <row r="917" spans="1:15" x14ac:dyDescent="0.35">
      <c r="A917" s="59" t="s">
        <v>185</v>
      </c>
      <c r="B917" s="60">
        <v>45816</v>
      </c>
      <c r="C917" s="54">
        <v>145.42939402668824</v>
      </c>
      <c r="D917" s="54"/>
      <c r="E917">
        <v>145.42939402668824</v>
      </c>
      <c r="F917">
        <v>130.26079601820936</v>
      </c>
      <c r="G917">
        <v>143.33117034454958</v>
      </c>
      <c r="H917" s="54">
        <v>739</v>
      </c>
      <c r="I917" s="54" t="s">
        <v>156</v>
      </c>
      <c r="J917" s="54">
        <v>894</v>
      </c>
      <c r="K917" s="54">
        <v>916</v>
      </c>
      <c r="L917" s="54">
        <v>125.97580081960554</v>
      </c>
      <c r="M917" s="54">
        <v>19.453593207082704</v>
      </c>
      <c r="N917" s="54">
        <v>15.168598008478881</v>
      </c>
      <c r="O917" s="54">
        <v>2.0982236821386664</v>
      </c>
    </row>
    <row r="918" spans="1:15" x14ac:dyDescent="0.35">
      <c r="A918" s="59" t="s">
        <v>185</v>
      </c>
      <c r="B918" s="60">
        <v>45823</v>
      </c>
      <c r="C918" s="54">
        <v>153.17756272219899</v>
      </c>
      <c r="D918" s="54"/>
      <c r="E918">
        <v>153.17756272219899</v>
      </c>
      <c r="F918">
        <v>147.17573706372559</v>
      </c>
      <c r="G918">
        <v>144.72306958149554</v>
      </c>
      <c r="H918" s="54">
        <v>739</v>
      </c>
      <c r="I918" s="54" t="s">
        <v>156</v>
      </c>
      <c r="J918" s="54">
        <v>894</v>
      </c>
      <c r="K918" s="54">
        <v>917</v>
      </c>
      <c r="L918" s="54">
        <v>143.20162149078016</v>
      </c>
      <c r="M918" s="54">
        <v>9.9759412314188296</v>
      </c>
      <c r="N918" s="54">
        <v>6.0018256584733933</v>
      </c>
      <c r="O918" s="54">
        <v>8.4544931407034483</v>
      </c>
    </row>
    <row r="919" spans="1:15" x14ac:dyDescent="0.35">
      <c r="A919" s="59" t="s">
        <v>185</v>
      </c>
      <c r="B919" s="60">
        <v>45830</v>
      </c>
      <c r="C919" s="54">
        <v>141.6273364833805</v>
      </c>
      <c r="D919" s="54"/>
      <c r="E919">
        <v>141.6273364833805</v>
      </c>
      <c r="F919">
        <v>127.67652662439953</v>
      </c>
      <c r="G919">
        <v>144.09005522978842</v>
      </c>
      <c r="H919" s="54">
        <v>739</v>
      </c>
      <c r="I919" s="54" t="s">
        <v>156</v>
      </c>
      <c r="J919" s="54">
        <v>894</v>
      </c>
      <c r="K919" s="54">
        <v>918</v>
      </c>
      <c r="L919" s="54">
        <v>128.62981816258434</v>
      </c>
      <c r="M919" s="54">
        <v>12.997518320796161</v>
      </c>
      <c r="N919" s="54">
        <v>13.950809858980975</v>
      </c>
      <c r="O919" s="54">
        <v>2.4627187464079157</v>
      </c>
    </row>
    <row r="920" spans="1:15" x14ac:dyDescent="0.35">
      <c r="A920" s="59" t="s">
        <v>185</v>
      </c>
      <c r="B920" s="60">
        <v>45837</v>
      </c>
      <c r="C920" s="54">
        <v>160.49980627463518</v>
      </c>
      <c r="D920" s="54"/>
      <c r="E920">
        <v>160.49980627463518</v>
      </c>
      <c r="F920">
        <v>122.47787223941265</v>
      </c>
      <c r="G920">
        <v>144.32786801221826</v>
      </c>
      <c r="H920" s="54">
        <v>739</v>
      </c>
      <c r="I920" s="54" t="s">
        <v>156</v>
      </c>
      <c r="J920" s="54">
        <v>894</v>
      </c>
      <c r="K920" s="54">
        <v>919</v>
      </c>
      <c r="L920" s="54">
        <v>122.49244708903795</v>
      </c>
      <c r="M920" s="54">
        <v>38.007359185597224</v>
      </c>
      <c r="N920" s="54">
        <v>38.021934035222529</v>
      </c>
      <c r="O920" s="54">
        <v>16.171938262416916</v>
      </c>
    </row>
    <row r="921" spans="1:15" x14ac:dyDescent="0.35">
      <c r="A921" s="59" t="s">
        <v>186</v>
      </c>
      <c r="B921" s="60">
        <v>44570</v>
      </c>
      <c r="C921" s="54">
        <v>116.36408474545787</v>
      </c>
      <c r="D921" s="54">
        <v>116.36408474545787</v>
      </c>
      <c r="E921"/>
      <c r="F921"/>
      <c r="G921" t="e">
        <v>#N/A</v>
      </c>
      <c r="H921" s="54">
        <v>921</v>
      </c>
      <c r="I921" s="54">
        <v>1</v>
      </c>
      <c r="J921" s="54">
        <v>921</v>
      </c>
      <c r="K921" s="54">
        <v>920</v>
      </c>
      <c r="L921" s="54" t="e">
        <v>#N/A</v>
      </c>
      <c r="M921" s="54" t="s">
        <v>156</v>
      </c>
      <c r="N921" s="54" t="s">
        <v>156</v>
      </c>
      <c r="O921" s="54" t="s">
        <v>156</v>
      </c>
    </row>
    <row r="922" spans="1:15" x14ac:dyDescent="0.35">
      <c r="A922" s="59" t="s">
        <v>186</v>
      </c>
      <c r="B922" s="60">
        <v>44577</v>
      </c>
      <c r="C922" s="54">
        <v>125.52874595258821</v>
      </c>
      <c r="D922" s="54">
        <v>125.52874595258821</v>
      </c>
      <c r="E922"/>
      <c r="F922"/>
      <c r="G922" t="e">
        <v>#N/A</v>
      </c>
      <c r="H922" s="54">
        <v>921</v>
      </c>
      <c r="I922" s="54">
        <v>2</v>
      </c>
      <c r="J922" s="54">
        <v>922</v>
      </c>
      <c r="K922" s="54">
        <v>921</v>
      </c>
      <c r="L922" s="54" t="e">
        <v>#N/A</v>
      </c>
      <c r="M922" s="54" t="s">
        <v>156</v>
      </c>
      <c r="N922" s="54" t="s">
        <v>156</v>
      </c>
      <c r="O922" s="54" t="s">
        <v>156</v>
      </c>
    </row>
    <row r="923" spans="1:15" x14ac:dyDescent="0.35">
      <c r="A923" s="59" t="s">
        <v>186</v>
      </c>
      <c r="B923" s="60">
        <v>44584</v>
      </c>
      <c r="C923" s="54">
        <v>86.163966859537595</v>
      </c>
      <c r="D923" s="54">
        <v>86.163966859537595</v>
      </c>
      <c r="E923"/>
      <c r="F923"/>
      <c r="G923" t="e">
        <v>#N/A</v>
      </c>
      <c r="H923" s="54">
        <v>921</v>
      </c>
      <c r="I923" s="54">
        <v>3</v>
      </c>
      <c r="J923" s="54">
        <v>923</v>
      </c>
      <c r="K923" s="54">
        <v>922</v>
      </c>
      <c r="L923" s="54" t="e">
        <v>#N/A</v>
      </c>
      <c r="M923" s="54" t="s">
        <v>156</v>
      </c>
      <c r="N923" s="54" t="s">
        <v>156</v>
      </c>
      <c r="O923" s="54" t="s">
        <v>156</v>
      </c>
    </row>
    <row r="924" spans="1:15" x14ac:dyDescent="0.35">
      <c r="A924" s="59" t="s">
        <v>186</v>
      </c>
      <c r="B924" s="60">
        <v>44591</v>
      </c>
      <c r="C924" s="54">
        <v>314.32377496500806</v>
      </c>
      <c r="D924" s="54">
        <v>314.32377496500806</v>
      </c>
      <c r="E924"/>
      <c r="F924"/>
      <c r="G924" t="e">
        <v>#N/A</v>
      </c>
      <c r="H924" s="54">
        <v>921</v>
      </c>
      <c r="I924" s="54">
        <v>4</v>
      </c>
      <c r="J924" s="54">
        <v>924</v>
      </c>
      <c r="K924" s="54">
        <v>923</v>
      </c>
      <c r="L924" s="54" t="e">
        <v>#N/A</v>
      </c>
      <c r="M924" s="54" t="s">
        <v>156</v>
      </c>
      <c r="N924" s="54" t="s">
        <v>156</v>
      </c>
      <c r="O924" s="54" t="s">
        <v>156</v>
      </c>
    </row>
    <row r="925" spans="1:15" x14ac:dyDescent="0.35">
      <c r="A925" s="59" t="s">
        <v>186</v>
      </c>
      <c r="B925" s="60">
        <v>44598</v>
      </c>
      <c r="C925" s="54">
        <v>76.27035319297002</v>
      </c>
      <c r="D925" s="54">
        <v>76.27035319297002</v>
      </c>
      <c r="E925"/>
      <c r="F925"/>
      <c r="G925" t="e">
        <v>#N/A</v>
      </c>
      <c r="H925" s="54">
        <v>921</v>
      </c>
      <c r="I925" s="54">
        <v>5</v>
      </c>
      <c r="J925" s="54">
        <v>925</v>
      </c>
      <c r="K925" s="54">
        <v>924</v>
      </c>
      <c r="L925" s="54" t="e">
        <v>#N/A</v>
      </c>
      <c r="M925" s="54" t="s">
        <v>156</v>
      </c>
      <c r="N925" s="54" t="s">
        <v>156</v>
      </c>
      <c r="O925" s="54" t="s">
        <v>156</v>
      </c>
    </row>
    <row r="926" spans="1:15" x14ac:dyDescent="0.35">
      <c r="A926" s="59" t="s">
        <v>186</v>
      </c>
      <c r="B926" s="60">
        <v>44605</v>
      </c>
      <c r="C926" s="54">
        <v>97.751852069531822</v>
      </c>
      <c r="D926" s="54">
        <v>97.751852069531822</v>
      </c>
      <c r="E926"/>
      <c r="F926"/>
      <c r="G926" t="e">
        <v>#N/A</v>
      </c>
      <c r="H926" s="54">
        <v>921</v>
      </c>
      <c r="I926" s="54">
        <v>6</v>
      </c>
      <c r="J926" s="54">
        <v>926</v>
      </c>
      <c r="K926" s="54">
        <v>925</v>
      </c>
      <c r="L926" s="54" t="e">
        <v>#N/A</v>
      </c>
      <c r="M926" s="54" t="s">
        <v>156</v>
      </c>
      <c r="N926" s="54" t="s">
        <v>156</v>
      </c>
      <c r="O926" s="54" t="s">
        <v>156</v>
      </c>
    </row>
    <row r="927" spans="1:15" x14ac:dyDescent="0.35">
      <c r="A927" s="59" t="s">
        <v>186</v>
      </c>
      <c r="B927" s="60">
        <v>44612</v>
      </c>
      <c r="C927" s="54">
        <v>0</v>
      </c>
      <c r="D927" s="54">
        <v>0</v>
      </c>
      <c r="E927"/>
      <c r="F927"/>
      <c r="G927" t="e">
        <v>#N/A</v>
      </c>
      <c r="H927" s="54">
        <v>921</v>
      </c>
      <c r="I927" s="54">
        <v>7</v>
      </c>
      <c r="J927" s="54">
        <v>927</v>
      </c>
      <c r="K927" s="54">
        <v>926</v>
      </c>
      <c r="L927" s="54" t="e">
        <v>#N/A</v>
      </c>
      <c r="M927" s="54" t="s">
        <v>156</v>
      </c>
      <c r="N927" s="54" t="s">
        <v>156</v>
      </c>
      <c r="O927" s="54" t="s">
        <v>156</v>
      </c>
    </row>
    <row r="928" spans="1:15" x14ac:dyDescent="0.35">
      <c r="A928" s="59" t="s">
        <v>186</v>
      </c>
      <c r="B928" s="60">
        <v>44619</v>
      </c>
      <c r="C928" s="54">
        <v>166.45923060554497</v>
      </c>
      <c r="D928" s="54">
        <v>166.45923060554497</v>
      </c>
      <c r="E928"/>
      <c r="F928"/>
      <c r="G928" t="e">
        <v>#N/A</v>
      </c>
      <c r="H928" s="54">
        <v>921</v>
      </c>
      <c r="I928" s="54">
        <v>8</v>
      </c>
      <c r="J928" s="54">
        <v>928</v>
      </c>
      <c r="K928" s="54">
        <v>927</v>
      </c>
      <c r="L928" s="54" t="e">
        <v>#N/A</v>
      </c>
      <c r="M928" s="54" t="s">
        <v>156</v>
      </c>
      <c r="N928" s="54" t="s">
        <v>156</v>
      </c>
      <c r="O928" s="54" t="s">
        <v>156</v>
      </c>
    </row>
    <row r="929" spans="1:15" x14ac:dyDescent="0.35">
      <c r="A929" s="59" t="s">
        <v>186</v>
      </c>
      <c r="B929" s="60">
        <v>44626</v>
      </c>
      <c r="C929" s="54">
        <v>66.954166769755915</v>
      </c>
      <c r="D929" s="54">
        <v>66.954166769755915</v>
      </c>
      <c r="E929"/>
      <c r="F929"/>
      <c r="G929" t="e">
        <v>#N/A</v>
      </c>
      <c r="H929" s="54">
        <v>921</v>
      </c>
      <c r="I929" s="54">
        <v>9</v>
      </c>
      <c r="J929" s="54">
        <v>929</v>
      </c>
      <c r="K929" s="54">
        <v>928</v>
      </c>
      <c r="L929" s="54" t="e">
        <v>#N/A</v>
      </c>
      <c r="M929" s="54" t="s">
        <v>156</v>
      </c>
      <c r="N929" s="54" t="s">
        <v>156</v>
      </c>
      <c r="O929" s="54" t="s">
        <v>156</v>
      </c>
    </row>
    <row r="930" spans="1:15" x14ac:dyDescent="0.35">
      <c r="A930" s="59" t="s">
        <v>186</v>
      </c>
      <c r="B930" s="60">
        <v>44633</v>
      </c>
      <c r="C930" s="54">
        <v>96.716213333936651</v>
      </c>
      <c r="D930" s="54">
        <v>96.716213333936651</v>
      </c>
      <c r="E930"/>
      <c r="F930"/>
      <c r="G930" t="e">
        <v>#N/A</v>
      </c>
      <c r="H930" s="54">
        <v>921</v>
      </c>
      <c r="I930" s="54">
        <v>10</v>
      </c>
      <c r="J930" s="54">
        <v>930</v>
      </c>
      <c r="K930" s="54">
        <v>929</v>
      </c>
      <c r="L930" s="54" t="e">
        <v>#N/A</v>
      </c>
      <c r="M930" s="54" t="s">
        <v>156</v>
      </c>
      <c r="N930" s="54" t="s">
        <v>156</v>
      </c>
      <c r="O930" s="54" t="s">
        <v>156</v>
      </c>
    </row>
    <row r="931" spans="1:15" x14ac:dyDescent="0.35">
      <c r="A931" s="59" t="s">
        <v>186</v>
      </c>
      <c r="B931" s="60">
        <v>44640</v>
      </c>
      <c r="C931" s="54">
        <v>68.792902508433514</v>
      </c>
      <c r="D931" s="54">
        <v>68.792902508433514</v>
      </c>
      <c r="E931"/>
      <c r="F931"/>
      <c r="G931" t="e">
        <v>#N/A</v>
      </c>
      <c r="H931" s="54">
        <v>921</v>
      </c>
      <c r="I931" s="54">
        <v>11</v>
      </c>
      <c r="J931" s="54">
        <v>931</v>
      </c>
      <c r="K931" s="54">
        <v>930</v>
      </c>
      <c r="L931" s="54" t="e">
        <v>#N/A</v>
      </c>
      <c r="M931" s="54" t="s">
        <v>156</v>
      </c>
      <c r="N931" s="54" t="s">
        <v>156</v>
      </c>
      <c r="O931" s="54" t="s">
        <v>156</v>
      </c>
    </row>
    <row r="932" spans="1:15" x14ac:dyDescent="0.35">
      <c r="A932" s="59" t="s">
        <v>186</v>
      </c>
      <c r="B932" s="60">
        <v>44647</v>
      </c>
      <c r="C932" s="54">
        <v>92.267969639662226</v>
      </c>
      <c r="D932" s="54">
        <v>92.267969639662226</v>
      </c>
      <c r="E932"/>
      <c r="F932"/>
      <c r="G932" t="e">
        <v>#N/A</v>
      </c>
      <c r="H932" s="54">
        <v>921</v>
      </c>
      <c r="I932" s="54">
        <v>12</v>
      </c>
      <c r="J932" s="54">
        <v>932</v>
      </c>
      <c r="K932" s="54">
        <v>931</v>
      </c>
      <c r="L932" s="54" t="e">
        <v>#N/A</v>
      </c>
      <c r="M932" s="54" t="s">
        <v>156</v>
      </c>
      <c r="N932" s="54" t="s">
        <v>156</v>
      </c>
      <c r="O932" s="54" t="s">
        <v>156</v>
      </c>
    </row>
    <row r="933" spans="1:15" x14ac:dyDescent="0.35">
      <c r="A933" s="59" t="s">
        <v>186</v>
      </c>
      <c r="B933" s="60">
        <v>44654</v>
      </c>
      <c r="C933" s="54">
        <v>83.125050018531525</v>
      </c>
      <c r="D933" s="54">
        <v>83.125050018531525</v>
      </c>
      <c r="E933"/>
      <c r="F933"/>
      <c r="G933" t="e">
        <v>#N/A</v>
      </c>
      <c r="H933" s="54">
        <v>921</v>
      </c>
      <c r="I933" s="54">
        <v>13</v>
      </c>
      <c r="J933" s="54">
        <v>933</v>
      </c>
      <c r="K933" s="54">
        <v>932</v>
      </c>
      <c r="L933" s="54" t="e">
        <v>#N/A</v>
      </c>
      <c r="M933" s="54" t="s">
        <v>156</v>
      </c>
      <c r="N933" s="54" t="s">
        <v>156</v>
      </c>
      <c r="O933" s="54" t="s">
        <v>156</v>
      </c>
    </row>
    <row r="934" spans="1:15" x14ac:dyDescent="0.35">
      <c r="A934" s="59" t="s">
        <v>186</v>
      </c>
      <c r="B934" s="60">
        <v>44661</v>
      </c>
      <c r="C934" s="54">
        <v>102.79647242885137</v>
      </c>
      <c r="D934" s="54">
        <v>102.79647242885137</v>
      </c>
      <c r="E934"/>
      <c r="F934"/>
      <c r="G934" t="e">
        <v>#N/A</v>
      </c>
      <c r="H934" s="54">
        <v>921</v>
      </c>
      <c r="I934" s="54">
        <v>14</v>
      </c>
      <c r="J934" s="54">
        <v>934</v>
      </c>
      <c r="K934" s="54">
        <v>933</v>
      </c>
      <c r="L934" s="54" t="e">
        <v>#N/A</v>
      </c>
      <c r="M934" s="54" t="s">
        <v>156</v>
      </c>
      <c r="N934" s="54" t="s">
        <v>156</v>
      </c>
      <c r="O934" s="54" t="s">
        <v>156</v>
      </c>
    </row>
    <row r="935" spans="1:15" x14ac:dyDescent="0.35">
      <c r="A935" s="59" t="s">
        <v>186</v>
      </c>
      <c r="B935" s="60">
        <v>44668</v>
      </c>
      <c r="C935" s="54">
        <v>104.56378408664864</v>
      </c>
      <c r="D935" s="54">
        <v>104.56378408664864</v>
      </c>
      <c r="E935"/>
      <c r="F935"/>
      <c r="G935" t="e">
        <v>#N/A</v>
      </c>
      <c r="H935" s="54">
        <v>921</v>
      </c>
      <c r="I935" s="54">
        <v>15</v>
      </c>
      <c r="J935" s="54">
        <v>935</v>
      </c>
      <c r="K935" s="54">
        <v>934</v>
      </c>
      <c r="L935" s="54" t="e">
        <v>#N/A</v>
      </c>
      <c r="M935" s="54" t="s">
        <v>156</v>
      </c>
      <c r="N935" s="54" t="s">
        <v>156</v>
      </c>
      <c r="O935" s="54" t="s">
        <v>156</v>
      </c>
    </row>
    <row r="936" spans="1:15" x14ac:dyDescent="0.35">
      <c r="A936" s="59" t="s">
        <v>186</v>
      </c>
      <c r="B936" s="60">
        <v>44675</v>
      </c>
      <c r="C936" s="54">
        <v>99.964848095942315</v>
      </c>
      <c r="D936" s="54">
        <v>99.964848095942315</v>
      </c>
      <c r="E936"/>
      <c r="F936"/>
      <c r="G936" t="e">
        <v>#N/A</v>
      </c>
      <c r="H936" s="54">
        <v>921</v>
      </c>
      <c r="I936" s="54">
        <v>16</v>
      </c>
      <c r="J936" s="54">
        <v>936</v>
      </c>
      <c r="K936" s="54">
        <v>935</v>
      </c>
      <c r="L936" s="54" t="e">
        <v>#N/A</v>
      </c>
      <c r="M936" s="54" t="s">
        <v>156</v>
      </c>
      <c r="N936" s="54" t="s">
        <v>156</v>
      </c>
      <c r="O936" s="54" t="s">
        <v>156</v>
      </c>
    </row>
    <row r="937" spans="1:15" x14ac:dyDescent="0.35">
      <c r="A937" s="59" t="s">
        <v>186</v>
      </c>
      <c r="B937" s="60">
        <v>44682</v>
      </c>
      <c r="C937" s="54">
        <v>90.82058051141972</v>
      </c>
      <c r="D937" s="54">
        <v>90.82058051141972</v>
      </c>
      <c r="E937"/>
      <c r="F937"/>
      <c r="G937" t="e">
        <v>#N/A</v>
      </c>
      <c r="H937" s="54">
        <v>921</v>
      </c>
      <c r="I937" s="54">
        <v>17</v>
      </c>
      <c r="J937" s="54">
        <v>937</v>
      </c>
      <c r="K937" s="54">
        <v>936</v>
      </c>
      <c r="L937" s="54" t="e">
        <v>#N/A</v>
      </c>
      <c r="M937" s="54" t="s">
        <v>156</v>
      </c>
      <c r="N937" s="54" t="s">
        <v>156</v>
      </c>
      <c r="O937" s="54" t="s">
        <v>156</v>
      </c>
    </row>
    <row r="938" spans="1:15" x14ac:dyDescent="0.35">
      <c r="A938" s="59" t="s">
        <v>186</v>
      </c>
      <c r="B938" s="60">
        <v>44689</v>
      </c>
      <c r="C938" s="54">
        <v>179.90848886059487</v>
      </c>
      <c r="D938" s="54">
        <v>179.90848886059487</v>
      </c>
      <c r="E938"/>
      <c r="F938"/>
      <c r="G938" t="e">
        <v>#N/A</v>
      </c>
      <c r="H938" s="54">
        <v>921</v>
      </c>
      <c r="I938" s="54">
        <v>18</v>
      </c>
      <c r="J938" s="54">
        <v>938</v>
      </c>
      <c r="K938" s="54">
        <v>937</v>
      </c>
      <c r="L938" s="54" t="e">
        <v>#N/A</v>
      </c>
      <c r="M938" s="54" t="s">
        <v>156</v>
      </c>
      <c r="N938" s="54" t="s">
        <v>156</v>
      </c>
      <c r="O938" s="54" t="s">
        <v>156</v>
      </c>
    </row>
    <row r="939" spans="1:15" x14ac:dyDescent="0.35">
      <c r="A939" s="59" t="s">
        <v>186</v>
      </c>
      <c r="B939" s="60">
        <v>44696</v>
      </c>
      <c r="C939" s="54">
        <v>162.21148729609581</v>
      </c>
      <c r="D939" s="54">
        <v>162.21148729609581</v>
      </c>
      <c r="E939"/>
      <c r="F939"/>
      <c r="G939" t="e">
        <v>#N/A</v>
      </c>
      <c r="H939" s="54">
        <v>921</v>
      </c>
      <c r="I939" s="54">
        <v>19</v>
      </c>
      <c r="J939" s="54">
        <v>939</v>
      </c>
      <c r="K939" s="54">
        <v>938</v>
      </c>
      <c r="L939" s="54" t="e">
        <v>#N/A</v>
      </c>
      <c r="M939" s="54" t="s">
        <v>156</v>
      </c>
      <c r="N939" s="54" t="s">
        <v>156</v>
      </c>
      <c r="O939" s="54" t="s">
        <v>156</v>
      </c>
    </row>
    <row r="940" spans="1:15" x14ac:dyDescent="0.35">
      <c r="A940" s="59" t="s">
        <v>186</v>
      </c>
      <c r="B940" s="60">
        <v>44703</v>
      </c>
      <c r="C940" s="54">
        <v>174.25910258897571</v>
      </c>
      <c r="D940" s="54">
        <v>174.25910258897571</v>
      </c>
      <c r="E940"/>
      <c r="F940"/>
      <c r="G940" t="e">
        <v>#N/A</v>
      </c>
      <c r="H940" s="54">
        <v>921</v>
      </c>
      <c r="I940" s="54">
        <v>20</v>
      </c>
      <c r="J940" s="54">
        <v>940</v>
      </c>
      <c r="K940" s="54">
        <v>939</v>
      </c>
      <c r="L940" s="54" t="e">
        <v>#N/A</v>
      </c>
      <c r="M940" s="54" t="s">
        <v>156</v>
      </c>
      <c r="N940" s="54" t="s">
        <v>156</v>
      </c>
      <c r="O940" s="54" t="s">
        <v>156</v>
      </c>
    </row>
    <row r="941" spans="1:15" x14ac:dyDescent="0.35">
      <c r="A941" s="59" t="s">
        <v>186</v>
      </c>
      <c r="B941" s="60">
        <v>44710</v>
      </c>
      <c r="C941" s="54">
        <v>81.082590420585575</v>
      </c>
      <c r="D941" s="54">
        <v>81.082590420585575</v>
      </c>
      <c r="E941"/>
      <c r="F941"/>
      <c r="G941" t="e">
        <v>#N/A</v>
      </c>
      <c r="H941" s="54">
        <v>921</v>
      </c>
      <c r="I941" s="54">
        <v>21</v>
      </c>
      <c r="J941" s="54">
        <v>941</v>
      </c>
      <c r="K941" s="54">
        <v>940</v>
      </c>
      <c r="L941" s="54" t="e">
        <v>#N/A</v>
      </c>
      <c r="M941" s="54" t="s">
        <v>156</v>
      </c>
      <c r="N941" s="54" t="s">
        <v>156</v>
      </c>
      <c r="O941" s="54" t="s">
        <v>156</v>
      </c>
    </row>
    <row r="942" spans="1:15" x14ac:dyDescent="0.35">
      <c r="A942" s="59" t="s">
        <v>186</v>
      </c>
      <c r="B942" s="60">
        <v>44717</v>
      </c>
      <c r="C942" s="54">
        <v>200.36123087061804</v>
      </c>
      <c r="D942" s="54">
        <v>200.36123087061804</v>
      </c>
      <c r="E942"/>
      <c r="F942"/>
      <c r="G942" t="e">
        <v>#N/A</v>
      </c>
      <c r="H942" s="54">
        <v>921</v>
      </c>
      <c r="I942" s="54">
        <v>22</v>
      </c>
      <c r="J942" s="54">
        <v>942</v>
      </c>
      <c r="K942" s="54">
        <v>941</v>
      </c>
      <c r="L942" s="54" t="e">
        <v>#N/A</v>
      </c>
      <c r="M942" s="54" t="s">
        <v>156</v>
      </c>
      <c r="N942" s="54" t="s">
        <v>156</v>
      </c>
      <c r="O942" s="54" t="s">
        <v>156</v>
      </c>
    </row>
    <row r="943" spans="1:15" x14ac:dyDescent="0.35">
      <c r="A943" s="59" t="s">
        <v>186</v>
      </c>
      <c r="B943" s="60">
        <v>44724</v>
      </c>
      <c r="C943" s="54">
        <v>179.25205798899103</v>
      </c>
      <c r="D943" s="54">
        <v>179.25205798899103</v>
      </c>
      <c r="E943"/>
      <c r="F943"/>
      <c r="G943" t="e">
        <v>#N/A</v>
      </c>
      <c r="H943" s="54">
        <v>921</v>
      </c>
      <c r="I943" s="54">
        <v>23</v>
      </c>
      <c r="J943" s="54">
        <v>943</v>
      </c>
      <c r="K943" s="54">
        <v>942</v>
      </c>
      <c r="L943" s="54" t="e">
        <v>#N/A</v>
      </c>
      <c r="M943" s="54" t="s">
        <v>156</v>
      </c>
      <c r="N943" s="54" t="s">
        <v>156</v>
      </c>
      <c r="O943" s="54" t="s">
        <v>156</v>
      </c>
    </row>
    <row r="944" spans="1:15" x14ac:dyDescent="0.35">
      <c r="A944" s="59" t="s">
        <v>186</v>
      </c>
      <c r="B944" s="60">
        <v>44731</v>
      </c>
      <c r="C944" s="54">
        <v>100.81646684474335</v>
      </c>
      <c r="D944" s="54">
        <v>100.81646684474335</v>
      </c>
      <c r="E944"/>
      <c r="F944"/>
      <c r="G944" t="e">
        <v>#N/A</v>
      </c>
      <c r="H944" s="54">
        <v>921</v>
      </c>
      <c r="I944" s="54">
        <v>24</v>
      </c>
      <c r="J944" s="54">
        <v>944</v>
      </c>
      <c r="K944" s="54">
        <v>943</v>
      </c>
      <c r="L944" s="54" t="e">
        <v>#N/A</v>
      </c>
      <c r="M944" s="54" t="s">
        <v>156</v>
      </c>
      <c r="N944" s="54" t="s">
        <v>156</v>
      </c>
      <c r="O944" s="54" t="s">
        <v>156</v>
      </c>
    </row>
    <row r="945" spans="1:15" x14ac:dyDescent="0.35">
      <c r="A945" s="59" t="s">
        <v>186</v>
      </c>
      <c r="B945" s="60">
        <v>44738</v>
      </c>
      <c r="C945" s="54">
        <v>194.79805082302261</v>
      </c>
      <c r="D945" s="54">
        <v>194.79805082302261</v>
      </c>
      <c r="E945"/>
      <c r="F945"/>
      <c r="G945" t="e">
        <v>#N/A</v>
      </c>
      <c r="H945" s="54">
        <v>921</v>
      </c>
      <c r="I945" s="54">
        <v>25</v>
      </c>
      <c r="J945" s="54">
        <v>945</v>
      </c>
      <c r="K945" s="54">
        <v>944</v>
      </c>
      <c r="L945" s="54" t="e">
        <v>#N/A</v>
      </c>
      <c r="M945" s="54" t="s">
        <v>156</v>
      </c>
      <c r="N945" s="54" t="s">
        <v>156</v>
      </c>
      <c r="O945" s="54" t="s">
        <v>156</v>
      </c>
    </row>
    <row r="946" spans="1:15" x14ac:dyDescent="0.35">
      <c r="A946" s="59" t="s">
        <v>186</v>
      </c>
      <c r="B946" s="60">
        <v>44745</v>
      </c>
      <c r="C946" s="54">
        <v>62.40827816971111</v>
      </c>
      <c r="D946" s="54">
        <v>62.40827816971111</v>
      </c>
      <c r="E946"/>
      <c r="F946"/>
      <c r="G946" t="e">
        <v>#N/A</v>
      </c>
      <c r="H946" s="54">
        <v>921</v>
      </c>
      <c r="I946" s="54">
        <v>26</v>
      </c>
      <c r="J946" s="54">
        <v>946</v>
      </c>
      <c r="K946" s="54">
        <v>945</v>
      </c>
      <c r="L946" s="54" t="e">
        <v>#N/A</v>
      </c>
      <c r="M946" s="54" t="s">
        <v>156</v>
      </c>
      <c r="N946" s="54" t="s">
        <v>156</v>
      </c>
      <c r="O946" s="54" t="s">
        <v>156</v>
      </c>
    </row>
    <row r="947" spans="1:15" x14ac:dyDescent="0.35">
      <c r="A947" s="59" t="s">
        <v>186</v>
      </c>
      <c r="B947" s="60">
        <v>44752</v>
      </c>
      <c r="C947" s="54">
        <v>3.2895126719322434</v>
      </c>
      <c r="D947" s="54">
        <v>3.2895126719322434</v>
      </c>
      <c r="E947"/>
      <c r="F947"/>
      <c r="G947" t="e">
        <v>#N/A</v>
      </c>
      <c r="H947" s="54">
        <v>921</v>
      </c>
      <c r="I947" s="54">
        <v>27</v>
      </c>
      <c r="J947" s="54">
        <v>947</v>
      </c>
      <c r="K947" s="54">
        <v>946</v>
      </c>
      <c r="L947" s="54" t="e">
        <v>#N/A</v>
      </c>
      <c r="M947" s="54" t="s">
        <v>156</v>
      </c>
      <c r="N947" s="54" t="s">
        <v>156</v>
      </c>
      <c r="O947" s="54" t="s">
        <v>156</v>
      </c>
    </row>
    <row r="948" spans="1:15" x14ac:dyDescent="0.35">
      <c r="A948" s="59" t="s">
        <v>186</v>
      </c>
      <c r="B948" s="60">
        <v>44759</v>
      </c>
      <c r="C948" s="54">
        <v>166.72594015538905</v>
      </c>
      <c r="D948" s="54">
        <v>166.72594015538905</v>
      </c>
      <c r="E948"/>
      <c r="F948"/>
      <c r="G948" t="e">
        <v>#N/A</v>
      </c>
      <c r="H948" s="54">
        <v>921</v>
      </c>
      <c r="I948" s="54">
        <v>28</v>
      </c>
      <c r="J948" s="54">
        <v>948</v>
      </c>
      <c r="K948" s="54">
        <v>947</v>
      </c>
      <c r="L948" s="54" t="e">
        <v>#N/A</v>
      </c>
      <c r="M948" s="54" t="s">
        <v>156</v>
      </c>
      <c r="N948" s="54" t="s">
        <v>156</v>
      </c>
      <c r="O948" s="54" t="s">
        <v>156</v>
      </c>
    </row>
    <row r="949" spans="1:15" x14ac:dyDescent="0.35">
      <c r="A949" s="59" t="s">
        <v>186</v>
      </c>
      <c r="B949" s="60">
        <v>44766</v>
      </c>
      <c r="C949" s="54">
        <v>93.986071978293765</v>
      </c>
      <c r="D949" s="54">
        <v>93.986071978293765</v>
      </c>
      <c r="E949"/>
      <c r="F949"/>
      <c r="G949" t="e">
        <v>#N/A</v>
      </c>
      <c r="H949" s="54">
        <v>921</v>
      </c>
      <c r="I949" s="54">
        <v>29</v>
      </c>
      <c r="J949" s="54">
        <v>949</v>
      </c>
      <c r="K949" s="54">
        <v>948</v>
      </c>
      <c r="L949" s="54" t="e">
        <v>#N/A</v>
      </c>
      <c r="M949" s="54" t="s">
        <v>156</v>
      </c>
      <c r="N949" s="54" t="s">
        <v>156</v>
      </c>
      <c r="O949" s="54" t="s">
        <v>156</v>
      </c>
    </row>
    <row r="950" spans="1:15" x14ac:dyDescent="0.35">
      <c r="A950" s="59" t="s">
        <v>186</v>
      </c>
      <c r="B950" s="60">
        <v>44773</v>
      </c>
      <c r="C950" s="54">
        <v>159.25264485798451</v>
      </c>
      <c r="D950" s="54">
        <v>159.25264485798451</v>
      </c>
      <c r="E950"/>
      <c r="F950"/>
      <c r="G950" t="e">
        <v>#N/A</v>
      </c>
      <c r="H950" s="54">
        <v>921</v>
      </c>
      <c r="I950" s="54">
        <v>30</v>
      </c>
      <c r="J950" s="54">
        <v>950</v>
      </c>
      <c r="K950" s="54">
        <v>949</v>
      </c>
      <c r="L950" s="54" t="e">
        <v>#N/A</v>
      </c>
      <c r="M950" s="54" t="s">
        <v>156</v>
      </c>
      <c r="N950" s="54" t="s">
        <v>156</v>
      </c>
      <c r="O950" s="54" t="s">
        <v>156</v>
      </c>
    </row>
    <row r="951" spans="1:15" x14ac:dyDescent="0.35">
      <c r="A951" s="59" t="s">
        <v>186</v>
      </c>
      <c r="B951" s="60">
        <v>44780</v>
      </c>
      <c r="C951" s="54">
        <v>56.199167172004529</v>
      </c>
      <c r="D951" s="54">
        <v>56.199167172004529</v>
      </c>
      <c r="E951"/>
      <c r="F951"/>
      <c r="G951" t="e">
        <v>#N/A</v>
      </c>
      <c r="H951" s="54">
        <v>921</v>
      </c>
      <c r="I951" s="54">
        <v>31</v>
      </c>
      <c r="J951" s="54">
        <v>951</v>
      </c>
      <c r="K951" s="54">
        <v>950</v>
      </c>
      <c r="L951" s="54" t="e">
        <v>#N/A</v>
      </c>
      <c r="M951" s="54" t="s">
        <v>156</v>
      </c>
      <c r="N951" s="54" t="s">
        <v>156</v>
      </c>
      <c r="O951" s="54" t="s">
        <v>156</v>
      </c>
    </row>
    <row r="952" spans="1:15" x14ac:dyDescent="0.35">
      <c r="A952" s="59" t="s">
        <v>186</v>
      </c>
      <c r="B952" s="60">
        <v>44787</v>
      </c>
      <c r="C952" s="54">
        <v>31.384602617034943</v>
      </c>
      <c r="D952" s="54">
        <v>31.384602617034943</v>
      </c>
      <c r="E952"/>
      <c r="F952"/>
      <c r="G952" t="e">
        <v>#N/A</v>
      </c>
      <c r="H952" s="54">
        <v>921</v>
      </c>
      <c r="I952" s="54">
        <v>32</v>
      </c>
      <c r="J952" s="54">
        <v>952</v>
      </c>
      <c r="K952" s="54">
        <v>951</v>
      </c>
      <c r="L952" s="54" t="e">
        <v>#N/A</v>
      </c>
      <c r="M952" s="54" t="s">
        <v>156</v>
      </c>
      <c r="N952" s="54" t="s">
        <v>156</v>
      </c>
      <c r="O952" s="54" t="s">
        <v>156</v>
      </c>
    </row>
    <row r="953" spans="1:15" x14ac:dyDescent="0.35">
      <c r="A953" s="59" t="s">
        <v>186</v>
      </c>
      <c r="B953" s="60">
        <v>44794</v>
      </c>
      <c r="C953" s="54">
        <v>181.65725172800398</v>
      </c>
      <c r="D953" s="54">
        <v>181.65725172800398</v>
      </c>
      <c r="E953"/>
      <c r="F953"/>
      <c r="G953" t="e">
        <v>#N/A</v>
      </c>
      <c r="H953" s="54">
        <v>921</v>
      </c>
      <c r="I953" s="54">
        <v>33</v>
      </c>
      <c r="J953" s="54">
        <v>953</v>
      </c>
      <c r="K953" s="54">
        <v>952</v>
      </c>
      <c r="L953" s="54" t="e">
        <v>#N/A</v>
      </c>
      <c r="M953" s="54" t="s">
        <v>156</v>
      </c>
      <c r="N953" s="54" t="s">
        <v>156</v>
      </c>
      <c r="O953" s="54" t="s">
        <v>156</v>
      </c>
    </row>
    <row r="954" spans="1:15" x14ac:dyDescent="0.35">
      <c r="A954" s="59" t="s">
        <v>186</v>
      </c>
      <c r="B954" s="60">
        <v>44801</v>
      </c>
      <c r="C954" s="54">
        <v>16.324083125885537</v>
      </c>
      <c r="D954" s="54">
        <v>16.324083125885537</v>
      </c>
      <c r="E954"/>
      <c r="F954"/>
      <c r="G954" t="e">
        <v>#N/A</v>
      </c>
      <c r="H954" s="54">
        <v>921</v>
      </c>
      <c r="I954" s="54">
        <v>34</v>
      </c>
      <c r="J954" s="54">
        <v>954</v>
      </c>
      <c r="K954" s="54">
        <v>953</v>
      </c>
      <c r="L954" s="54" t="e">
        <v>#N/A</v>
      </c>
      <c r="M954" s="54" t="s">
        <v>156</v>
      </c>
      <c r="N954" s="54" t="s">
        <v>156</v>
      </c>
      <c r="O954" s="54" t="s">
        <v>156</v>
      </c>
    </row>
    <row r="955" spans="1:15" x14ac:dyDescent="0.35">
      <c r="A955" s="59" t="s">
        <v>186</v>
      </c>
      <c r="B955" s="60">
        <v>44808</v>
      </c>
      <c r="C955" s="54">
        <v>7.9684956222059924</v>
      </c>
      <c r="D955" s="54">
        <v>7.9684956222059924</v>
      </c>
      <c r="E955"/>
      <c r="F955"/>
      <c r="G955" t="e">
        <v>#N/A</v>
      </c>
      <c r="H955" s="54">
        <v>921</v>
      </c>
      <c r="I955" s="54">
        <v>35</v>
      </c>
      <c r="J955" s="54">
        <v>955</v>
      </c>
      <c r="K955" s="54">
        <v>954</v>
      </c>
      <c r="L955" s="54" t="e">
        <v>#N/A</v>
      </c>
      <c r="M955" s="54" t="s">
        <v>156</v>
      </c>
      <c r="N955" s="54" t="s">
        <v>156</v>
      </c>
      <c r="O955" s="54" t="s">
        <v>156</v>
      </c>
    </row>
    <row r="956" spans="1:15" x14ac:dyDescent="0.35">
      <c r="A956" s="59" t="s">
        <v>186</v>
      </c>
      <c r="B956" s="60">
        <v>44815</v>
      </c>
      <c r="C956" s="54">
        <v>0</v>
      </c>
      <c r="D956" s="54">
        <v>0</v>
      </c>
      <c r="E956"/>
      <c r="F956"/>
      <c r="G956" t="e">
        <v>#N/A</v>
      </c>
      <c r="H956" s="54">
        <v>921</v>
      </c>
      <c r="I956" s="54">
        <v>36</v>
      </c>
      <c r="J956" s="54">
        <v>956</v>
      </c>
      <c r="K956" s="54">
        <v>955</v>
      </c>
      <c r="L956" s="54" t="e">
        <v>#N/A</v>
      </c>
      <c r="M956" s="54" t="s">
        <v>156</v>
      </c>
      <c r="N956" s="54" t="s">
        <v>156</v>
      </c>
      <c r="O956" s="54" t="s">
        <v>156</v>
      </c>
    </row>
    <row r="957" spans="1:15" x14ac:dyDescent="0.35">
      <c r="A957" s="59" t="s">
        <v>186</v>
      </c>
      <c r="B957" s="60">
        <v>44822</v>
      </c>
      <c r="C957" s="54">
        <v>0</v>
      </c>
      <c r="D957" s="54">
        <v>0</v>
      </c>
      <c r="E957"/>
      <c r="F957"/>
      <c r="G957" t="e">
        <v>#N/A</v>
      </c>
      <c r="H957" s="54">
        <v>921</v>
      </c>
      <c r="I957" s="54">
        <v>37</v>
      </c>
      <c r="J957" s="54">
        <v>957</v>
      </c>
      <c r="K957" s="54">
        <v>956</v>
      </c>
      <c r="L957" s="54" t="e">
        <v>#N/A</v>
      </c>
      <c r="M957" s="54" t="s">
        <v>156</v>
      </c>
      <c r="N957" s="54" t="s">
        <v>156</v>
      </c>
      <c r="O957" s="54" t="s">
        <v>156</v>
      </c>
    </row>
    <row r="958" spans="1:15" x14ac:dyDescent="0.35">
      <c r="A958" s="59" t="s">
        <v>186</v>
      </c>
      <c r="B958" s="60">
        <v>44829</v>
      </c>
      <c r="C958" s="54">
        <v>49.388603987890477</v>
      </c>
      <c r="D958" s="54">
        <v>49.388603987890477</v>
      </c>
      <c r="E958"/>
      <c r="F958"/>
      <c r="G958" t="e">
        <v>#N/A</v>
      </c>
      <c r="H958" s="54">
        <v>921</v>
      </c>
      <c r="I958" s="54">
        <v>38</v>
      </c>
      <c r="J958" s="54">
        <v>958</v>
      </c>
      <c r="K958" s="54">
        <v>957</v>
      </c>
      <c r="L958" s="54" t="e">
        <v>#N/A</v>
      </c>
      <c r="M958" s="54" t="s">
        <v>156</v>
      </c>
      <c r="N958" s="54" t="s">
        <v>156</v>
      </c>
      <c r="O958" s="54" t="s">
        <v>156</v>
      </c>
    </row>
    <row r="959" spans="1:15" x14ac:dyDescent="0.35">
      <c r="A959" s="59" t="s">
        <v>186</v>
      </c>
      <c r="B959" s="60">
        <v>44836</v>
      </c>
      <c r="C959" s="54">
        <v>0</v>
      </c>
      <c r="D959" s="54">
        <v>0</v>
      </c>
      <c r="E959"/>
      <c r="F959"/>
      <c r="G959" t="e">
        <v>#N/A</v>
      </c>
      <c r="H959" s="54">
        <v>921</v>
      </c>
      <c r="I959" s="54">
        <v>39</v>
      </c>
      <c r="J959" s="54">
        <v>959</v>
      </c>
      <c r="K959" s="54">
        <v>958</v>
      </c>
      <c r="L959" s="54" t="e">
        <v>#N/A</v>
      </c>
      <c r="M959" s="54" t="s">
        <v>156</v>
      </c>
      <c r="N959" s="54" t="s">
        <v>156</v>
      </c>
      <c r="O959" s="54" t="s">
        <v>156</v>
      </c>
    </row>
    <row r="960" spans="1:15" x14ac:dyDescent="0.35">
      <c r="A960" s="59" t="s">
        <v>186</v>
      </c>
      <c r="B960" s="60">
        <v>44843</v>
      </c>
      <c r="C960" s="54">
        <v>115.21110307993744</v>
      </c>
      <c r="D960" s="54">
        <v>115.21110307993744</v>
      </c>
      <c r="E960"/>
      <c r="F960"/>
      <c r="G960" t="e">
        <v>#N/A</v>
      </c>
      <c r="H960" s="54">
        <v>921</v>
      </c>
      <c r="I960" s="54">
        <v>40</v>
      </c>
      <c r="J960" s="54">
        <v>960</v>
      </c>
      <c r="K960" s="54">
        <v>959</v>
      </c>
      <c r="L960" s="54" t="e">
        <v>#N/A</v>
      </c>
      <c r="M960" s="54" t="s">
        <v>156</v>
      </c>
      <c r="N960" s="54" t="s">
        <v>156</v>
      </c>
      <c r="O960" s="54" t="s">
        <v>156</v>
      </c>
    </row>
    <row r="961" spans="1:15" x14ac:dyDescent="0.35">
      <c r="A961" s="59" t="s">
        <v>186</v>
      </c>
      <c r="B961" s="60">
        <v>44850</v>
      </c>
      <c r="C961" s="54">
        <v>0</v>
      </c>
      <c r="D961" s="54">
        <v>0</v>
      </c>
      <c r="E961"/>
      <c r="F961"/>
      <c r="G961" t="e">
        <v>#N/A</v>
      </c>
      <c r="H961" s="54">
        <v>921</v>
      </c>
      <c r="I961" s="54">
        <v>41</v>
      </c>
      <c r="J961" s="54">
        <v>961</v>
      </c>
      <c r="K961" s="54">
        <v>960</v>
      </c>
      <c r="L961" s="54" t="e">
        <v>#N/A</v>
      </c>
      <c r="M961" s="54" t="s">
        <v>156</v>
      </c>
      <c r="N961" s="54" t="s">
        <v>156</v>
      </c>
      <c r="O961" s="54" t="s">
        <v>156</v>
      </c>
    </row>
    <row r="962" spans="1:15" x14ac:dyDescent="0.35">
      <c r="A962" s="59" t="s">
        <v>186</v>
      </c>
      <c r="B962" s="60">
        <v>44857</v>
      </c>
      <c r="C962" s="54">
        <v>41.275827293000376</v>
      </c>
      <c r="D962" s="54">
        <v>41.275827293000376</v>
      </c>
      <c r="E962"/>
      <c r="F962"/>
      <c r="G962" t="e">
        <v>#N/A</v>
      </c>
      <c r="H962" s="54">
        <v>921</v>
      </c>
      <c r="I962" s="54">
        <v>42</v>
      </c>
      <c r="J962" s="54">
        <v>962</v>
      </c>
      <c r="K962" s="54">
        <v>961</v>
      </c>
      <c r="L962" s="54" t="e">
        <v>#N/A</v>
      </c>
      <c r="M962" s="54" t="s">
        <v>156</v>
      </c>
      <c r="N962" s="54" t="s">
        <v>156</v>
      </c>
      <c r="O962" s="54" t="s">
        <v>156</v>
      </c>
    </row>
    <row r="963" spans="1:15" x14ac:dyDescent="0.35">
      <c r="A963" s="59" t="s">
        <v>186</v>
      </c>
      <c r="B963" s="60">
        <v>44864</v>
      </c>
      <c r="C963" s="54">
        <v>256.84080161438766</v>
      </c>
      <c r="D963" s="54">
        <v>256.84080161438766</v>
      </c>
      <c r="E963"/>
      <c r="F963"/>
      <c r="G963" t="e">
        <v>#N/A</v>
      </c>
      <c r="H963" s="54">
        <v>921</v>
      </c>
      <c r="I963" s="54">
        <v>43</v>
      </c>
      <c r="J963" s="54">
        <v>963</v>
      </c>
      <c r="K963" s="54">
        <v>962</v>
      </c>
      <c r="L963" s="54" t="e">
        <v>#N/A</v>
      </c>
      <c r="M963" s="54" t="s">
        <v>156</v>
      </c>
      <c r="N963" s="54" t="s">
        <v>156</v>
      </c>
      <c r="O963" s="54" t="s">
        <v>156</v>
      </c>
    </row>
    <row r="964" spans="1:15" x14ac:dyDescent="0.35">
      <c r="A964" s="59" t="s">
        <v>186</v>
      </c>
      <c r="B964" s="60">
        <v>44871</v>
      </c>
      <c r="C964" s="54">
        <v>125.34992079742781</v>
      </c>
      <c r="D964" s="54">
        <v>125.34992079742781</v>
      </c>
      <c r="E964"/>
      <c r="F964"/>
      <c r="G964" t="e">
        <v>#N/A</v>
      </c>
      <c r="H964" s="54">
        <v>921</v>
      </c>
      <c r="I964" s="54">
        <v>44</v>
      </c>
      <c r="J964" s="54">
        <v>964</v>
      </c>
      <c r="K964" s="54">
        <v>963</v>
      </c>
      <c r="L964" s="54" t="e">
        <v>#N/A</v>
      </c>
      <c r="M964" s="54" t="s">
        <v>156</v>
      </c>
      <c r="N964" s="54" t="s">
        <v>156</v>
      </c>
      <c r="O964" s="54" t="s">
        <v>156</v>
      </c>
    </row>
    <row r="965" spans="1:15" x14ac:dyDescent="0.35">
      <c r="A965" s="59" t="s">
        <v>186</v>
      </c>
      <c r="B965" s="60">
        <v>44878</v>
      </c>
      <c r="C965" s="54">
        <v>110.4159202207296</v>
      </c>
      <c r="D965" s="54">
        <v>110.4159202207296</v>
      </c>
      <c r="E965"/>
      <c r="F965"/>
      <c r="G965" t="e">
        <v>#N/A</v>
      </c>
      <c r="H965" s="54">
        <v>921</v>
      </c>
      <c r="I965" s="54">
        <v>45</v>
      </c>
      <c r="J965" s="54">
        <v>965</v>
      </c>
      <c r="K965" s="54">
        <v>964</v>
      </c>
      <c r="L965" s="54" t="e">
        <v>#N/A</v>
      </c>
      <c r="M965" s="54" t="s">
        <v>156</v>
      </c>
      <c r="N965" s="54" t="s">
        <v>156</v>
      </c>
      <c r="O965" s="54" t="s">
        <v>156</v>
      </c>
    </row>
    <row r="966" spans="1:15" x14ac:dyDescent="0.35">
      <c r="A966" s="59" t="s">
        <v>186</v>
      </c>
      <c r="B966" s="60">
        <v>44885</v>
      </c>
      <c r="C966" s="54">
        <v>4.7299406537832596</v>
      </c>
      <c r="D966" s="54">
        <v>4.7299406537832596</v>
      </c>
      <c r="E966"/>
      <c r="F966"/>
      <c r="G966" t="e">
        <v>#N/A</v>
      </c>
      <c r="H966" s="54">
        <v>921</v>
      </c>
      <c r="I966" s="54">
        <v>46</v>
      </c>
      <c r="J966" s="54">
        <v>966</v>
      </c>
      <c r="K966" s="54">
        <v>965</v>
      </c>
      <c r="L966" s="54" t="e">
        <v>#N/A</v>
      </c>
      <c r="M966" s="54" t="s">
        <v>156</v>
      </c>
      <c r="N966" s="54" t="s">
        <v>156</v>
      </c>
      <c r="O966" s="54" t="s">
        <v>156</v>
      </c>
    </row>
    <row r="967" spans="1:15" x14ac:dyDescent="0.35">
      <c r="A967" s="59" t="s">
        <v>186</v>
      </c>
      <c r="B967" s="60">
        <v>44892</v>
      </c>
      <c r="C967" s="54">
        <v>87.009345057444648</v>
      </c>
      <c r="D967" s="54">
        <v>87.009345057444648</v>
      </c>
      <c r="E967"/>
      <c r="F967"/>
      <c r="G967" t="e">
        <v>#N/A</v>
      </c>
      <c r="H967" s="54">
        <v>921</v>
      </c>
      <c r="I967" s="54">
        <v>47</v>
      </c>
      <c r="J967" s="54">
        <v>967</v>
      </c>
      <c r="K967" s="54">
        <v>966</v>
      </c>
      <c r="L967" s="54" t="e">
        <v>#N/A</v>
      </c>
      <c r="M967" s="54" t="s">
        <v>156</v>
      </c>
      <c r="N967" s="54" t="s">
        <v>156</v>
      </c>
      <c r="O967" s="54" t="s">
        <v>156</v>
      </c>
    </row>
    <row r="968" spans="1:15" x14ac:dyDescent="0.35">
      <c r="A968" s="59" t="s">
        <v>186</v>
      </c>
      <c r="B968" s="60">
        <v>44899</v>
      </c>
      <c r="C968" s="54">
        <v>109.1378041408248</v>
      </c>
      <c r="D968" s="54">
        <v>109.1378041408248</v>
      </c>
      <c r="E968"/>
      <c r="F968"/>
      <c r="G968" t="e">
        <v>#N/A</v>
      </c>
      <c r="H968" s="54">
        <v>921</v>
      </c>
      <c r="I968" s="54">
        <v>48</v>
      </c>
      <c r="J968" s="54">
        <v>968</v>
      </c>
      <c r="K968" s="54">
        <v>967</v>
      </c>
      <c r="L968" s="54" t="e">
        <v>#N/A</v>
      </c>
      <c r="M968" s="54" t="s">
        <v>156</v>
      </c>
      <c r="N968" s="54" t="s">
        <v>156</v>
      </c>
      <c r="O968" s="54" t="s">
        <v>156</v>
      </c>
    </row>
    <row r="969" spans="1:15" x14ac:dyDescent="0.35">
      <c r="A969" s="59" t="s">
        <v>186</v>
      </c>
      <c r="B969" s="60">
        <v>44906</v>
      </c>
      <c r="C969" s="54">
        <v>4.8055473257113732</v>
      </c>
      <c r="D969" s="54">
        <v>4.8055473257113732</v>
      </c>
      <c r="E969"/>
      <c r="F969"/>
      <c r="G969" t="e">
        <v>#N/A</v>
      </c>
      <c r="H969" s="54">
        <v>921</v>
      </c>
      <c r="I969" s="54">
        <v>49</v>
      </c>
      <c r="J969" s="54">
        <v>969</v>
      </c>
      <c r="K969" s="54">
        <v>968</v>
      </c>
      <c r="L969" s="54" t="e">
        <v>#N/A</v>
      </c>
      <c r="M969" s="54" t="s">
        <v>156</v>
      </c>
      <c r="N969" s="54" t="s">
        <v>156</v>
      </c>
      <c r="O969" s="54" t="s">
        <v>156</v>
      </c>
    </row>
    <row r="970" spans="1:15" x14ac:dyDescent="0.35">
      <c r="A970" s="59" t="s">
        <v>186</v>
      </c>
      <c r="B970" s="60">
        <v>44913</v>
      </c>
      <c r="C970" s="54">
        <v>112.3025140506948</v>
      </c>
      <c r="D970" s="54">
        <v>112.3025140506948</v>
      </c>
      <c r="E970"/>
      <c r="F970"/>
      <c r="G970" t="e">
        <v>#N/A</v>
      </c>
      <c r="H970" s="54">
        <v>921</v>
      </c>
      <c r="I970" s="54">
        <v>50</v>
      </c>
      <c r="J970" s="54">
        <v>970</v>
      </c>
      <c r="K970" s="54">
        <v>969</v>
      </c>
      <c r="L970" s="54" t="e">
        <v>#N/A</v>
      </c>
      <c r="M970" s="54" t="s">
        <v>156</v>
      </c>
      <c r="N970" s="54" t="s">
        <v>156</v>
      </c>
      <c r="O970" s="54" t="s">
        <v>156</v>
      </c>
    </row>
    <row r="971" spans="1:15" x14ac:dyDescent="0.35">
      <c r="A971" s="59" t="s">
        <v>186</v>
      </c>
      <c r="B971" s="60">
        <v>44920</v>
      </c>
      <c r="C971" s="54">
        <v>172.88324625725153</v>
      </c>
      <c r="D971" s="54">
        <v>172.88324625725153</v>
      </c>
      <c r="E971"/>
      <c r="F971"/>
      <c r="G971" t="e">
        <v>#N/A</v>
      </c>
      <c r="H971" s="54">
        <v>921</v>
      </c>
      <c r="I971" s="54">
        <v>51</v>
      </c>
      <c r="J971" s="54">
        <v>971</v>
      </c>
      <c r="K971" s="54">
        <v>970</v>
      </c>
      <c r="L971" s="54" t="e">
        <v>#N/A</v>
      </c>
      <c r="M971" s="54" t="s">
        <v>156</v>
      </c>
      <c r="N971" s="54" t="s">
        <v>156</v>
      </c>
      <c r="O971" s="54" t="s">
        <v>156</v>
      </c>
    </row>
    <row r="972" spans="1:15" x14ac:dyDescent="0.35">
      <c r="A972" s="59" t="s">
        <v>186</v>
      </c>
      <c r="B972" s="60">
        <v>44927</v>
      </c>
      <c r="C972" s="54">
        <v>80.455974729360662</v>
      </c>
      <c r="D972" s="54">
        <v>80.455974729360662</v>
      </c>
      <c r="E972"/>
      <c r="F972"/>
      <c r="G972" t="e">
        <v>#N/A</v>
      </c>
      <c r="H972" s="54">
        <v>921</v>
      </c>
      <c r="I972" s="54">
        <v>52</v>
      </c>
      <c r="J972" s="54">
        <v>972</v>
      </c>
      <c r="K972" s="54">
        <v>971</v>
      </c>
      <c r="L972" s="54" t="e">
        <v>#N/A</v>
      </c>
      <c r="M972" s="54" t="s">
        <v>156</v>
      </c>
      <c r="N972" s="54" t="s">
        <v>156</v>
      </c>
      <c r="O972" s="54" t="s">
        <v>156</v>
      </c>
    </row>
    <row r="973" spans="1:15" x14ac:dyDescent="0.35">
      <c r="A973" s="59" t="s">
        <v>186</v>
      </c>
      <c r="B973" s="60">
        <v>44934</v>
      </c>
      <c r="C973" s="54">
        <v>89.341584228678613</v>
      </c>
      <c r="D973" s="54">
        <v>89.341584228678613</v>
      </c>
      <c r="E973"/>
      <c r="F973"/>
      <c r="G973" t="e">
        <v>#N/A</v>
      </c>
      <c r="H973" s="54">
        <v>921</v>
      </c>
      <c r="I973" s="54">
        <v>53</v>
      </c>
      <c r="J973" s="54">
        <v>973</v>
      </c>
      <c r="K973" s="54">
        <v>972</v>
      </c>
      <c r="L973" s="54" t="e">
        <v>#N/A</v>
      </c>
      <c r="M973" s="54" t="s">
        <v>156</v>
      </c>
      <c r="N973" s="54" t="s">
        <v>156</v>
      </c>
      <c r="O973" s="54" t="s">
        <v>156</v>
      </c>
    </row>
    <row r="974" spans="1:15" x14ac:dyDescent="0.35">
      <c r="A974" s="59" t="s">
        <v>186</v>
      </c>
      <c r="B974" s="60">
        <v>44941</v>
      </c>
      <c r="C974" s="54">
        <v>0</v>
      </c>
      <c r="D974" s="54">
        <v>0</v>
      </c>
      <c r="E974"/>
      <c r="F974"/>
      <c r="G974" t="e">
        <v>#N/A</v>
      </c>
      <c r="H974" s="54">
        <v>921</v>
      </c>
      <c r="I974" s="54">
        <v>54</v>
      </c>
      <c r="J974" s="54">
        <v>974</v>
      </c>
      <c r="K974" s="54">
        <v>973</v>
      </c>
      <c r="L974" s="54" t="e">
        <v>#N/A</v>
      </c>
      <c r="M974" s="54" t="s">
        <v>156</v>
      </c>
      <c r="N974" s="54" t="s">
        <v>156</v>
      </c>
      <c r="O974" s="54" t="s">
        <v>156</v>
      </c>
    </row>
    <row r="975" spans="1:15" x14ac:dyDescent="0.35">
      <c r="A975" s="59" t="s">
        <v>186</v>
      </c>
      <c r="B975" s="60">
        <v>44948</v>
      </c>
      <c r="C975" s="54">
        <v>17.300013243632634</v>
      </c>
      <c r="D975" s="54">
        <v>17.300013243632634</v>
      </c>
      <c r="E975"/>
      <c r="F975"/>
      <c r="G975" t="e">
        <v>#N/A</v>
      </c>
      <c r="H975" s="54">
        <v>921</v>
      </c>
      <c r="I975" s="54">
        <v>55</v>
      </c>
      <c r="J975" s="54">
        <v>975</v>
      </c>
      <c r="K975" s="54">
        <v>974</v>
      </c>
      <c r="L975" s="54" t="e">
        <v>#N/A</v>
      </c>
      <c r="M975" s="54" t="s">
        <v>156</v>
      </c>
      <c r="N975" s="54" t="s">
        <v>156</v>
      </c>
      <c r="O975" s="54" t="s">
        <v>156</v>
      </c>
    </row>
    <row r="976" spans="1:15" x14ac:dyDescent="0.35">
      <c r="A976" s="59" t="s">
        <v>186</v>
      </c>
      <c r="B976" s="60">
        <v>44955</v>
      </c>
      <c r="C976" s="54">
        <v>164.75612004165833</v>
      </c>
      <c r="D976" s="54">
        <v>164.75612004165833</v>
      </c>
      <c r="E976"/>
      <c r="F976"/>
      <c r="G976" t="e">
        <v>#N/A</v>
      </c>
      <c r="H976" s="54">
        <v>921</v>
      </c>
      <c r="I976" s="54">
        <v>56</v>
      </c>
      <c r="J976" s="54">
        <v>976</v>
      </c>
      <c r="K976" s="54">
        <v>975</v>
      </c>
      <c r="L976" s="54" t="e">
        <v>#N/A</v>
      </c>
      <c r="M976" s="54" t="s">
        <v>156</v>
      </c>
      <c r="N976" s="54" t="s">
        <v>156</v>
      </c>
      <c r="O976" s="54" t="s">
        <v>156</v>
      </c>
    </row>
    <row r="977" spans="1:15" x14ac:dyDescent="0.35">
      <c r="A977" s="59" t="s">
        <v>186</v>
      </c>
      <c r="B977" s="60">
        <v>44962</v>
      </c>
      <c r="C977" s="54">
        <v>61.642587333313173</v>
      </c>
      <c r="D977" s="54">
        <v>61.642587333313173</v>
      </c>
      <c r="E977"/>
      <c r="F977"/>
      <c r="G977" t="e">
        <v>#N/A</v>
      </c>
      <c r="H977" s="54">
        <v>921</v>
      </c>
      <c r="I977" s="54">
        <v>57</v>
      </c>
      <c r="J977" s="54">
        <v>977</v>
      </c>
      <c r="K977" s="54">
        <v>976</v>
      </c>
      <c r="L977" s="54" t="e">
        <v>#N/A</v>
      </c>
      <c r="M977" s="54" t="s">
        <v>156</v>
      </c>
      <c r="N977" s="54" t="s">
        <v>156</v>
      </c>
      <c r="O977" s="54" t="s">
        <v>156</v>
      </c>
    </row>
    <row r="978" spans="1:15" x14ac:dyDescent="0.35">
      <c r="A978" s="59" t="s">
        <v>186</v>
      </c>
      <c r="B978" s="60">
        <v>44969</v>
      </c>
      <c r="C978" s="54">
        <v>45.595000066736368</v>
      </c>
      <c r="D978" s="54">
        <v>45.595000066736368</v>
      </c>
      <c r="E978"/>
      <c r="F978"/>
      <c r="G978" t="e">
        <v>#N/A</v>
      </c>
      <c r="H978" s="54">
        <v>921</v>
      </c>
      <c r="I978" s="54">
        <v>58</v>
      </c>
      <c r="J978" s="54">
        <v>978</v>
      </c>
      <c r="K978" s="54">
        <v>977</v>
      </c>
      <c r="L978" s="54" t="e">
        <v>#N/A</v>
      </c>
      <c r="M978" s="54" t="s">
        <v>156</v>
      </c>
      <c r="N978" s="54" t="s">
        <v>156</v>
      </c>
      <c r="O978" s="54" t="s">
        <v>156</v>
      </c>
    </row>
    <row r="979" spans="1:15" x14ac:dyDescent="0.35">
      <c r="A979" s="59" t="s">
        <v>186</v>
      </c>
      <c r="B979" s="60">
        <v>44976</v>
      </c>
      <c r="C979" s="54">
        <v>59.865665035908002</v>
      </c>
      <c r="D979" s="54">
        <v>59.865665035908002</v>
      </c>
      <c r="E979"/>
      <c r="F979"/>
      <c r="G979" t="e">
        <v>#N/A</v>
      </c>
      <c r="H979" s="54">
        <v>921</v>
      </c>
      <c r="I979" s="54">
        <v>59</v>
      </c>
      <c r="J979" s="54">
        <v>979</v>
      </c>
      <c r="K979" s="54">
        <v>978</v>
      </c>
      <c r="L979" s="54" t="e">
        <v>#N/A</v>
      </c>
      <c r="M979" s="54" t="s">
        <v>156</v>
      </c>
      <c r="N979" s="54" t="s">
        <v>156</v>
      </c>
      <c r="O979" s="54" t="s">
        <v>156</v>
      </c>
    </row>
    <row r="980" spans="1:15" x14ac:dyDescent="0.35">
      <c r="A980" s="59" t="s">
        <v>186</v>
      </c>
      <c r="B980" s="60">
        <v>44983</v>
      </c>
      <c r="C980" s="54">
        <v>98.016600102526951</v>
      </c>
      <c r="D980" s="54">
        <v>98.016600102526951</v>
      </c>
      <c r="E980"/>
      <c r="F980"/>
      <c r="G980" t="e">
        <v>#N/A</v>
      </c>
      <c r="H980" s="54">
        <v>921</v>
      </c>
      <c r="I980" s="54">
        <v>60</v>
      </c>
      <c r="J980" s="54">
        <v>980</v>
      </c>
      <c r="K980" s="54">
        <v>979</v>
      </c>
      <c r="L980" s="54" t="e">
        <v>#N/A</v>
      </c>
      <c r="M980" s="54" t="s">
        <v>156</v>
      </c>
      <c r="N980" s="54" t="s">
        <v>156</v>
      </c>
      <c r="O980" s="54" t="s">
        <v>156</v>
      </c>
    </row>
    <row r="981" spans="1:15" x14ac:dyDescent="0.35">
      <c r="A981" s="59" t="s">
        <v>186</v>
      </c>
      <c r="B981" s="60">
        <v>44990</v>
      </c>
      <c r="C981" s="54">
        <v>32.067182081664384</v>
      </c>
      <c r="D981" s="54">
        <v>32.067182081664384</v>
      </c>
      <c r="E981"/>
      <c r="F981"/>
      <c r="G981" t="e">
        <v>#N/A</v>
      </c>
      <c r="H981" s="54">
        <v>921</v>
      </c>
      <c r="I981" s="54">
        <v>61</v>
      </c>
      <c r="J981" s="54">
        <v>981</v>
      </c>
      <c r="K981" s="54">
        <v>980</v>
      </c>
      <c r="L981" s="54" t="e">
        <v>#N/A</v>
      </c>
      <c r="M981" s="54" t="s">
        <v>156</v>
      </c>
      <c r="N981" s="54" t="s">
        <v>156</v>
      </c>
      <c r="O981" s="54" t="s">
        <v>156</v>
      </c>
    </row>
    <row r="982" spans="1:15" x14ac:dyDescent="0.35">
      <c r="A982" s="59" t="s">
        <v>186</v>
      </c>
      <c r="B982" s="60">
        <v>44997</v>
      </c>
      <c r="C982" s="54">
        <v>109.14978517101169</v>
      </c>
      <c r="D982" s="54">
        <v>109.14978517101169</v>
      </c>
      <c r="E982"/>
      <c r="F982"/>
      <c r="G982" t="e">
        <v>#N/A</v>
      </c>
      <c r="H982" s="54">
        <v>921</v>
      </c>
      <c r="I982" s="54">
        <v>62</v>
      </c>
      <c r="J982" s="54">
        <v>982</v>
      </c>
      <c r="K982" s="54">
        <v>981</v>
      </c>
      <c r="L982" s="54" t="e">
        <v>#N/A</v>
      </c>
      <c r="M982" s="54" t="s">
        <v>156</v>
      </c>
      <c r="N982" s="54" t="s">
        <v>156</v>
      </c>
      <c r="O982" s="54" t="s">
        <v>156</v>
      </c>
    </row>
    <row r="983" spans="1:15" x14ac:dyDescent="0.35">
      <c r="A983" s="59" t="s">
        <v>186</v>
      </c>
      <c r="B983" s="60">
        <v>45004</v>
      </c>
      <c r="C983" s="54">
        <v>20.05900623071966</v>
      </c>
      <c r="D983" s="54">
        <v>20.05900623071966</v>
      </c>
      <c r="E983"/>
      <c r="F983"/>
      <c r="G983" t="e">
        <v>#N/A</v>
      </c>
      <c r="H983" s="54">
        <v>921</v>
      </c>
      <c r="I983" s="54">
        <v>63</v>
      </c>
      <c r="J983" s="54">
        <v>983</v>
      </c>
      <c r="K983" s="54">
        <v>982</v>
      </c>
      <c r="L983" s="54" t="e">
        <v>#N/A</v>
      </c>
      <c r="M983" s="54" t="s">
        <v>156</v>
      </c>
      <c r="N983" s="54" t="s">
        <v>156</v>
      </c>
      <c r="O983" s="54" t="s">
        <v>156</v>
      </c>
    </row>
    <row r="984" spans="1:15" x14ac:dyDescent="0.35">
      <c r="A984" s="59" t="s">
        <v>186</v>
      </c>
      <c r="B984" s="60">
        <v>45011</v>
      </c>
      <c r="C984" s="54">
        <v>152.25885263580969</v>
      </c>
      <c r="D984" s="54">
        <v>152.25885263580969</v>
      </c>
      <c r="E984"/>
      <c r="F984"/>
      <c r="G984" t="e">
        <v>#N/A</v>
      </c>
      <c r="H984" s="54">
        <v>921</v>
      </c>
      <c r="I984" s="54">
        <v>64</v>
      </c>
      <c r="J984" s="54">
        <v>984</v>
      </c>
      <c r="K984" s="54">
        <v>983</v>
      </c>
      <c r="L984" s="54" t="e">
        <v>#N/A</v>
      </c>
      <c r="M984" s="54" t="s">
        <v>156</v>
      </c>
      <c r="N984" s="54" t="s">
        <v>156</v>
      </c>
      <c r="O984" s="54" t="s">
        <v>156</v>
      </c>
    </row>
    <row r="985" spans="1:15" x14ac:dyDescent="0.35">
      <c r="A985" s="59" t="s">
        <v>186</v>
      </c>
      <c r="B985" s="60">
        <v>45018</v>
      </c>
      <c r="C985" s="54">
        <v>38.313524521082428</v>
      </c>
      <c r="D985" s="54">
        <v>38.313524521082428</v>
      </c>
      <c r="E985"/>
      <c r="F985"/>
      <c r="G985" t="e">
        <v>#N/A</v>
      </c>
      <c r="H985" s="54">
        <v>921</v>
      </c>
      <c r="I985" s="54">
        <v>65</v>
      </c>
      <c r="J985" s="54">
        <v>985</v>
      </c>
      <c r="K985" s="54">
        <v>984</v>
      </c>
      <c r="L985" s="54" t="e">
        <v>#N/A</v>
      </c>
      <c r="M985" s="54" t="s">
        <v>156</v>
      </c>
      <c r="N985" s="54" t="s">
        <v>156</v>
      </c>
      <c r="O985" s="54" t="s">
        <v>156</v>
      </c>
    </row>
    <row r="986" spans="1:15" x14ac:dyDescent="0.35">
      <c r="A986" s="59" t="s">
        <v>186</v>
      </c>
      <c r="B986" s="60">
        <v>45025</v>
      </c>
      <c r="C986" s="54">
        <v>181.46471425242493</v>
      </c>
      <c r="D986" s="54">
        <v>181.46471425242493</v>
      </c>
      <c r="E986"/>
      <c r="F986"/>
      <c r="G986" t="e">
        <v>#N/A</v>
      </c>
      <c r="H986" s="54">
        <v>921</v>
      </c>
      <c r="I986" s="54">
        <v>66</v>
      </c>
      <c r="J986" s="54">
        <v>986</v>
      </c>
      <c r="K986" s="54">
        <v>985</v>
      </c>
      <c r="L986" s="54" t="e">
        <v>#N/A</v>
      </c>
      <c r="M986" s="54" t="s">
        <v>156</v>
      </c>
      <c r="N986" s="54" t="s">
        <v>156</v>
      </c>
      <c r="O986" s="54" t="s">
        <v>156</v>
      </c>
    </row>
    <row r="987" spans="1:15" x14ac:dyDescent="0.35">
      <c r="A987" s="59" t="s">
        <v>186</v>
      </c>
      <c r="B987" s="60">
        <v>45032</v>
      </c>
      <c r="C987" s="54">
        <v>104.13935018266825</v>
      </c>
      <c r="D987" s="54">
        <v>104.13935018266825</v>
      </c>
      <c r="E987"/>
      <c r="F987"/>
      <c r="G987" t="e">
        <v>#N/A</v>
      </c>
      <c r="H987" s="54">
        <v>921</v>
      </c>
      <c r="I987" s="54">
        <v>67</v>
      </c>
      <c r="J987" s="54">
        <v>987</v>
      </c>
      <c r="K987" s="54">
        <v>986</v>
      </c>
      <c r="L987" s="54" t="e">
        <v>#N/A</v>
      </c>
      <c r="M987" s="54" t="s">
        <v>156</v>
      </c>
      <c r="N987" s="54" t="s">
        <v>156</v>
      </c>
      <c r="O987" s="54" t="s">
        <v>156</v>
      </c>
    </row>
    <row r="988" spans="1:15" x14ac:dyDescent="0.35">
      <c r="A988" s="59" t="s">
        <v>186</v>
      </c>
      <c r="B988" s="60">
        <v>45039</v>
      </c>
      <c r="C988" s="54">
        <v>63.598389010902736</v>
      </c>
      <c r="D988" s="54">
        <v>63.598389010902736</v>
      </c>
      <c r="E988"/>
      <c r="F988"/>
      <c r="G988" t="e">
        <v>#N/A</v>
      </c>
      <c r="H988" s="54">
        <v>921</v>
      </c>
      <c r="I988" s="54">
        <v>68</v>
      </c>
      <c r="J988" s="54">
        <v>988</v>
      </c>
      <c r="K988" s="54">
        <v>987</v>
      </c>
      <c r="L988" s="54" t="e">
        <v>#N/A</v>
      </c>
      <c r="M988" s="54" t="s">
        <v>156</v>
      </c>
      <c r="N988" s="54" t="s">
        <v>156</v>
      </c>
      <c r="O988" s="54" t="s">
        <v>156</v>
      </c>
    </row>
    <row r="989" spans="1:15" x14ac:dyDescent="0.35">
      <c r="A989" s="59" t="s">
        <v>186</v>
      </c>
      <c r="B989" s="60">
        <v>45046</v>
      </c>
      <c r="C989" s="54">
        <v>183.58098187151339</v>
      </c>
      <c r="D989" s="54">
        <v>183.58098187151339</v>
      </c>
      <c r="E989"/>
      <c r="F989"/>
      <c r="G989" t="e">
        <v>#N/A</v>
      </c>
      <c r="H989" s="54">
        <v>921</v>
      </c>
      <c r="I989" s="54">
        <v>69</v>
      </c>
      <c r="J989" s="54">
        <v>989</v>
      </c>
      <c r="K989" s="54">
        <v>988</v>
      </c>
      <c r="L989" s="54" t="e">
        <v>#N/A</v>
      </c>
      <c r="M989" s="54" t="s">
        <v>156</v>
      </c>
      <c r="N989" s="54" t="s">
        <v>156</v>
      </c>
      <c r="O989" s="54" t="s">
        <v>156</v>
      </c>
    </row>
    <row r="990" spans="1:15" x14ac:dyDescent="0.35">
      <c r="A990" s="59" t="s">
        <v>186</v>
      </c>
      <c r="B990" s="60">
        <v>45053</v>
      </c>
      <c r="C990" s="54">
        <v>31.860194543012028</v>
      </c>
      <c r="D990" s="54">
        <v>31.860194543012028</v>
      </c>
      <c r="E990"/>
      <c r="F990"/>
      <c r="G990" t="e">
        <v>#N/A</v>
      </c>
      <c r="H990" s="54">
        <v>921</v>
      </c>
      <c r="I990" s="54">
        <v>70</v>
      </c>
      <c r="J990" s="54">
        <v>990</v>
      </c>
      <c r="K990" s="54">
        <v>989</v>
      </c>
      <c r="L990" s="54" t="e">
        <v>#N/A</v>
      </c>
      <c r="M990" s="54" t="s">
        <v>156</v>
      </c>
      <c r="N990" s="54" t="s">
        <v>156</v>
      </c>
      <c r="O990" s="54" t="s">
        <v>156</v>
      </c>
    </row>
    <row r="991" spans="1:15" x14ac:dyDescent="0.35">
      <c r="A991" s="59" t="s">
        <v>186</v>
      </c>
      <c r="B991" s="60">
        <v>45060</v>
      </c>
      <c r="C991" s="54">
        <v>91.127037104115189</v>
      </c>
      <c r="D991" s="54">
        <v>91.127037104115189</v>
      </c>
      <c r="E991"/>
      <c r="F991"/>
      <c r="G991" t="e">
        <v>#N/A</v>
      </c>
      <c r="H991" s="54">
        <v>921</v>
      </c>
      <c r="I991" s="54">
        <v>71</v>
      </c>
      <c r="J991" s="54">
        <v>991</v>
      </c>
      <c r="K991" s="54">
        <v>990</v>
      </c>
      <c r="L991" s="54" t="e">
        <v>#N/A</v>
      </c>
      <c r="M991" s="54" t="s">
        <v>156</v>
      </c>
      <c r="N991" s="54" t="s">
        <v>156</v>
      </c>
      <c r="O991" s="54" t="s">
        <v>156</v>
      </c>
    </row>
    <row r="992" spans="1:15" x14ac:dyDescent="0.35">
      <c r="A992" s="59" t="s">
        <v>186</v>
      </c>
      <c r="B992" s="60">
        <v>45067</v>
      </c>
      <c r="C992" s="54">
        <v>138.37479852222549</v>
      </c>
      <c r="D992" s="54">
        <v>138.37479852222549</v>
      </c>
      <c r="E992"/>
      <c r="F992"/>
      <c r="G992" t="e">
        <v>#N/A</v>
      </c>
      <c r="H992" s="54">
        <v>921</v>
      </c>
      <c r="I992" s="54">
        <v>72</v>
      </c>
      <c r="J992" s="54">
        <v>992</v>
      </c>
      <c r="K992" s="54">
        <v>991</v>
      </c>
      <c r="L992" s="54" t="e">
        <v>#N/A</v>
      </c>
      <c r="M992" s="54" t="s">
        <v>156</v>
      </c>
      <c r="N992" s="54" t="s">
        <v>156</v>
      </c>
      <c r="O992" s="54" t="s">
        <v>156</v>
      </c>
    </row>
    <row r="993" spans="1:15" x14ac:dyDescent="0.35">
      <c r="A993" s="59" t="s">
        <v>186</v>
      </c>
      <c r="B993" s="60">
        <v>45074</v>
      </c>
      <c r="C993" s="54">
        <v>117.79437252828978</v>
      </c>
      <c r="D993" s="54">
        <v>117.79437252828978</v>
      </c>
      <c r="E993"/>
      <c r="F993"/>
      <c r="G993" t="e">
        <v>#N/A</v>
      </c>
      <c r="H993" s="54">
        <v>921</v>
      </c>
      <c r="I993" s="54">
        <v>73</v>
      </c>
      <c r="J993" s="54">
        <v>993</v>
      </c>
      <c r="K993" s="54">
        <v>992</v>
      </c>
      <c r="L993" s="54" t="e">
        <v>#N/A</v>
      </c>
      <c r="M993" s="54" t="s">
        <v>156</v>
      </c>
      <c r="N993" s="54" t="s">
        <v>156</v>
      </c>
      <c r="O993" s="54" t="s">
        <v>156</v>
      </c>
    </row>
    <row r="994" spans="1:15" x14ac:dyDescent="0.35">
      <c r="A994" s="59" t="s">
        <v>186</v>
      </c>
      <c r="B994" s="60">
        <v>45081</v>
      </c>
      <c r="C994" s="54">
        <v>0</v>
      </c>
      <c r="D994" s="54">
        <v>0</v>
      </c>
      <c r="E994"/>
      <c r="F994"/>
      <c r="G994" t="e">
        <v>#N/A</v>
      </c>
      <c r="H994" s="54">
        <v>921</v>
      </c>
      <c r="I994" s="54">
        <v>74</v>
      </c>
      <c r="J994" s="54">
        <v>994</v>
      </c>
      <c r="K994" s="54">
        <v>993</v>
      </c>
      <c r="L994" s="54" t="e">
        <v>#N/A</v>
      </c>
      <c r="M994" s="54" t="s">
        <v>156</v>
      </c>
      <c r="N994" s="54" t="s">
        <v>156</v>
      </c>
      <c r="O994" s="54" t="s">
        <v>156</v>
      </c>
    </row>
    <row r="995" spans="1:15" x14ac:dyDescent="0.35">
      <c r="A995" s="59" t="s">
        <v>186</v>
      </c>
      <c r="B995" s="60">
        <v>45088</v>
      </c>
      <c r="C995" s="54">
        <v>51.665710983120405</v>
      </c>
      <c r="D995" s="54">
        <v>51.665710983120405</v>
      </c>
      <c r="E995"/>
      <c r="F995"/>
      <c r="G995" t="e">
        <v>#N/A</v>
      </c>
      <c r="H995" s="54">
        <v>921</v>
      </c>
      <c r="I995" s="54">
        <v>75</v>
      </c>
      <c r="J995" s="54">
        <v>995</v>
      </c>
      <c r="K995" s="54">
        <v>994</v>
      </c>
      <c r="L995" s="54" t="e">
        <v>#N/A</v>
      </c>
      <c r="M995" s="54" t="s">
        <v>156</v>
      </c>
      <c r="N995" s="54" t="s">
        <v>156</v>
      </c>
      <c r="O995" s="54" t="s">
        <v>156</v>
      </c>
    </row>
    <row r="996" spans="1:15" x14ac:dyDescent="0.35">
      <c r="A996" s="59" t="s">
        <v>186</v>
      </c>
      <c r="B996" s="60">
        <v>45095</v>
      </c>
      <c r="C996" s="54">
        <v>142.79686239208499</v>
      </c>
      <c r="D996" s="54">
        <v>142.79686239208499</v>
      </c>
      <c r="E996"/>
      <c r="F996"/>
      <c r="G996" t="e">
        <v>#N/A</v>
      </c>
      <c r="H996" s="54">
        <v>921</v>
      </c>
      <c r="I996" s="54">
        <v>76</v>
      </c>
      <c r="J996" s="54">
        <v>996</v>
      </c>
      <c r="K996" s="54">
        <v>995</v>
      </c>
      <c r="L996" s="54" t="e">
        <v>#N/A</v>
      </c>
      <c r="M996" s="54" t="s">
        <v>156</v>
      </c>
      <c r="N996" s="54" t="s">
        <v>156</v>
      </c>
      <c r="O996" s="54" t="s">
        <v>156</v>
      </c>
    </row>
    <row r="997" spans="1:15" x14ac:dyDescent="0.35">
      <c r="A997" s="59" t="s">
        <v>186</v>
      </c>
      <c r="B997" s="60">
        <v>45102</v>
      </c>
      <c r="C997" s="54">
        <v>33.436652986392176</v>
      </c>
      <c r="D997" s="54">
        <v>33.436652986392176</v>
      </c>
      <c r="E997"/>
      <c r="F997"/>
      <c r="G997" t="e">
        <v>#N/A</v>
      </c>
      <c r="H997" s="54">
        <v>921</v>
      </c>
      <c r="I997" s="54">
        <v>77</v>
      </c>
      <c r="J997" s="54">
        <v>997</v>
      </c>
      <c r="K997" s="54">
        <v>996</v>
      </c>
      <c r="L997" s="54" t="e">
        <v>#N/A</v>
      </c>
      <c r="M997" s="54" t="s">
        <v>156</v>
      </c>
      <c r="N997" s="54" t="s">
        <v>156</v>
      </c>
      <c r="O997" s="54" t="s">
        <v>156</v>
      </c>
    </row>
    <row r="998" spans="1:15" x14ac:dyDescent="0.35">
      <c r="A998" s="59" t="s">
        <v>186</v>
      </c>
      <c r="B998" s="60">
        <v>45109</v>
      </c>
      <c r="C998" s="54">
        <v>184.18416418657245</v>
      </c>
      <c r="D998" s="54">
        <v>184.18416418657245</v>
      </c>
      <c r="E998"/>
      <c r="F998"/>
      <c r="G998" t="e">
        <v>#N/A</v>
      </c>
      <c r="H998" s="54">
        <v>921</v>
      </c>
      <c r="I998" s="54">
        <v>78</v>
      </c>
      <c r="J998" s="54">
        <v>998</v>
      </c>
      <c r="K998" s="54">
        <v>997</v>
      </c>
      <c r="L998" s="54" t="e">
        <v>#N/A</v>
      </c>
      <c r="M998" s="54" t="s">
        <v>156</v>
      </c>
      <c r="N998" s="54" t="s">
        <v>156</v>
      </c>
      <c r="O998" s="54" t="s">
        <v>156</v>
      </c>
    </row>
    <row r="999" spans="1:15" x14ac:dyDescent="0.35">
      <c r="A999" s="59" t="s">
        <v>186</v>
      </c>
      <c r="B999" s="60">
        <v>45116</v>
      </c>
      <c r="C999" s="54">
        <v>133.28352216400071</v>
      </c>
      <c r="D999" s="54">
        <v>133.28352216400071</v>
      </c>
      <c r="E999"/>
      <c r="F999"/>
      <c r="G999" t="e">
        <v>#N/A</v>
      </c>
      <c r="H999" s="54">
        <v>921</v>
      </c>
      <c r="I999" s="54">
        <v>79</v>
      </c>
      <c r="J999" s="54">
        <v>999</v>
      </c>
      <c r="K999" s="54">
        <v>998</v>
      </c>
      <c r="L999" s="54" t="e">
        <v>#N/A</v>
      </c>
      <c r="M999" s="54" t="s">
        <v>156</v>
      </c>
      <c r="N999" s="54" t="s">
        <v>156</v>
      </c>
      <c r="O999" s="54" t="s">
        <v>156</v>
      </c>
    </row>
    <row r="1000" spans="1:15" x14ac:dyDescent="0.35">
      <c r="A1000" s="59" t="s">
        <v>186</v>
      </c>
      <c r="B1000" s="60">
        <v>45123</v>
      </c>
      <c r="C1000" s="54">
        <v>71.87111932261746</v>
      </c>
      <c r="D1000" s="54">
        <v>71.87111932261746</v>
      </c>
      <c r="E1000"/>
      <c r="F1000"/>
      <c r="G1000" t="e">
        <v>#N/A</v>
      </c>
      <c r="H1000" s="54">
        <v>921</v>
      </c>
      <c r="I1000" s="54">
        <v>80</v>
      </c>
      <c r="J1000" s="54">
        <v>1000</v>
      </c>
      <c r="K1000" s="54">
        <v>999</v>
      </c>
      <c r="L1000" s="54" t="e">
        <v>#N/A</v>
      </c>
      <c r="M1000" s="54" t="s">
        <v>156</v>
      </c>
      <c r="N1000" s="54" t="s">
        <v>156</v>
      </c>
      <c r="O1000" s="54" t="s">
        <v>156</v>
      </c>
    </row>
    <row r="1001" spans="1:15" x14ac:dyDescent="0.35">
      <c r="A1001" s="59" t="s">
        <v>186</v>
      </c>
      <c r="B1001" s="60">
        <v>45130</v>
      </c>
      <c r="C1001" s="54">
        <v>96.448174888086939</v>
      </c>
      <c r="D1001" s="54">
        <v>96.448174888086939</v>
      </c>
      <c r="E1001"/>
      <c r="F1001"/>
      <c r="G1001" t="e">
        <v>#N/A</v>
      </c>
      <c r="H1001" s="54">
        <v>921</v>
      </c>
      <c r="I1001" s="54">
        <v>81</v>
      </c>
      <c r="J1001" s="54">
        <v>1001</v>
      </c>
      <c r="K1001" s="54">
        <v>1000</v>
      </c>
      <c r="L1001" s="54" t="e">
        <v>#N/A</v>
      </c>
      <c r="M1001" s="54" t="s">
        <v>156</v>
      </c>
      <c r="N1001" s="54" t="s">
        <v>156</v>
      </c>
      <c r="O1001" s="54" t="s">
        <v>156</v>
      </c>
    </row>
    <row r="1002" spans="1:15" x14ac:dyDescent="0.35">
      <c r="A1002" s="59" t="s">
        <v>186</v>
      </c>
      <c r="B1002" s="60">
        <v>45137</v>
      </c>
      <c r="C1002" s="54">
        <v>215.24996142023014</v>
      </c>
      <c r="D1002" s="54">
        <v>215.24996142023014</v>
      </c>
      <c r="E1002"/>
      <c r="F1002"/>
      <c r="G1002" t="e">
        <v>#N/A</v>
      </c>
      <c r="H1002" s="54">
        <v>921</v>
      </c>
      <c r="I1002" s="54">
        <v>82</v>
      </c>
      <c r="J1002" s="54">
        <v>1002</v>
      </c>
      <c r="K1002" s="54">
        <v>1001</v>
      </c>
      <c r="L1002" s="54" t="e">
        <v>#N/A</v>
      </c>
      <c r="M1002" s="54" t="s">
        <v>156</v>
      </c>
      <c r="N1002" s="54" t="s">
        <v>156</v>
      </c>
      <c r="O1002" s="54" t="s">
        <v>156</v>
      </c>
    </row>
    <row r="1003" spans="1:15" x14ac:dyDescent="0.35">
      <c r="A1003" s="59" t="s">
        <v>186</v>
      </c>
      <c r="B1003" s="60">
        <v>45144</v>
      </c>
      <c r="C1003" s="54">
        <v>160.88718077259671</v>
      </c>
      <c r="D1003" s="54">
        <v>160.88718077259671</v>
      </c>
      <c r="E1003"/>
      <c r="F1003"/>
      <c r="G1003" t="e">
        <v>#N/A</v>
      </c>
      <c r="H1003" s="54">
        <v>921</v>
      </c>
      <c r="I1003" s="54">
        <v>83</v>
      </c>
      <c r="J1003" s="54">
        <v>1003</v>
      </c>
      <c r="K1003" s="54">
        <v>1002</v>
      </c>
      <c r="L1003" s="54" t="e">
        <v>#N/A</v>
      </c>
      <c r="M1003" s="54" t="s">
        <v>156</v>
      </c>
      <c r="N1003" s="54" t="s">
        <v>156</v>
      </c>
      <c r="O1003" s="54" t="s">
        <v>156</v>
      </c>
    </row>
    <row r="1004" spans="1:15" x14ac:dyDescent="0.35">
      <c r="A1004" s="59" t="s">
        <v>186</v>
      </c>
      <c r="B1004" s="60">
        <v>45151</v>
      </c>
      <c r="C1004" s="54">
        <v>129.0129661001385</v>
      </c>
      <c r="D1004" s="54">
        <v>129.0129661001385</v>
      </c>
      <c r="E1004"/>
      <c r="F1004"/>
      <c r="G1004" t="e">
        <v>#N/A</v>
      </c>
      <c r="H1004" s="54">
        <v>921</v>
      </c>
      <c r="I1004" s="54">
        <v>84</v>
      </c>
      <c r="J1004" s="54">
        <v>1004</v>
      </c>
      <c r="K1004" s="54">
        <v>1003</v>
      </c>
      <c r="L1004" s="54" t="e">
        <v>#N/A</v>
      </c>
      <c r="M1004" s="54" t="s">
        <v>156</v>
      </c>
      <c r="N1004" s="54" t="s">
        <v>156</v>
      </c>
      <c r="O1004" s="54" t="s">
        <v>156</v>
      </c>
    </row>
    <row r="1005" spans="1:15" x14ac:dyDescent="0.35">
      <c r="A1005" s="59" t="s">
        <v>186</v>
      </c>
      <c r="B1005" s="60">
        <v>45158</v>
      </c>
      <c r="C1005" s="54">
        <v>18.513651987707689</v>
      </c>
      <c r="D1005" s="54">
        <v>18.513651987707689</v>
      </c>
      <c r="E1005"/>
      <c r="F1005"/>
      <c r="G1005" t="e">
        <v>#N/A</v>
      </c>
      <c r="H1005" s="54">
        <v>921</v>
      </c>
      <c r="I1005" s="54">
        <v>85</v>
      </c>
      <c r="J1005" s="54">
        <v>1005</v>
      </c>
      <c r="K1005" s="54">
        <v>1004</v>
      </c>
      <c r="L1005" s="54" t="e">
        <v>#N/A</v>
      </c>
      <c r="M1005" s="54" t="s">
        <v>156</v>
      </c>
      <c r="N1005" s="54" t="s">
        <v>156</v>
      </c>
      <c r="O1005" s="54" t="s">
        <v>156</v>
      </c>
    </row>
    <row r="1006" spans="1:15" x14ac:dyDescent="0.35">
      <c r="A1006" s="59" t="s">
        <v>186</v>
      </c>
      <c r="B1006" s="60">
        <v>45165</v>
      </c>
      <c r="C1006" s="54">
        <v>202.62852601271726</v>
      </c>
      <c r="D1006" s="54">
        <v>202.62852601271726</v>
      </c>
      <c r="E1006"/>
      <c r="F1006"/>
      <c r="G1006" t="e">
        <v>#N/A</v>
      </c>
      <c r="H1006" s="54">
        <v>921</v>
      </c>
      <c r="I1006" s="54">
        <v>86</v>
      </c>
      <c r="J1006" s="54">
        <v>1006</v>
      </c>
      <c r="K1006" s="54">
        <v>1005</v>
      </c>
      <c r="L1006" s="54" t="e">
        <v>#N/A</v>
      </c>
      <c r="M1006" s="54" t="s">
        <v>156</v>
      </c>
      <c r="N1006" s="54" t="s">
        <v>156</v>
      </c>
      <c r="O1006" s="54" t="s">
        <v>156</v>
      </c>
    </row>
    <row r="1007" spans="1:15" x14ac:dyDescent="0.35">
      <c r="A1007" s="59" t="s">
        <v>186</v>
      </c>
      <c r="B1007" s="60">
        <v>45172</v>
      </c>
      <c r="C1007" s="54">
        <v>166.50892999578471</v>
      </c>
      <c r="D1007" s="54">
        <v>166.50892999578471</v>
      </c>
      <c r="E1007"/>
      <c r="F1007"/>
      <c r="G1007" t="e">
        <v>#N/A</v>
      </c>
      <c r="H1007" s="54">
        <v>921</v>
      </c>
      <c r="I1007" s="54">
        <v>87</v>
      </c>
      <c r="J1007" s="54">
        <v>1007</v>
      </c>
      <c r="K1007" s="54">
        <v>1006</v>
      </c>
      <c r="L1007" s="54" t="e">
        <v>#N/A</v>
      </c>
      <c r="M1007" s="54" t="s">
        <v>156</v>
      </c>
      <c r="N1007" s="54" t="s">
        <v>156</v>
      </c>
      <c r="O1007" s="54" t="s">
        <v>156</v>
      </c>
    </row>
    <row r="1008" spans="1:15" x14ac:dyDescent="0.35">
      <c r="A1008" s="59" t="s">
        <v>186</v>
      </c>
      <c r="B1008" s="60">
        <v>45179</v>
      </c>
      <c r="C1008" s="54">
        <v>99.10225478509436</v>
      </c>
      <c r="D1008" s="54">
        <v>99.10225478509436</v>
      </c>
      <c r="E1008"/>
      <c r="F1008"/>
      <c r="G1008" t="e">
        <v>#N/A</v>
      </c>
      <c r="H1008" s="54">
        <v>921</v>
      </c>
      <c r="I1008" s="54">
        <v>88</v>
      </c>
      <c r="J1008" s="54">
        <v>1008</v>
      </c>
      <c r="K1008" s="54">
        <v>1007</v>
      </c>
      <c r="L1008" s="54" t="e">
        <v>#N/A</v>
      </c>
      <c r="M1008" s="54" t="s">
        <v>156</v>
      </c>
      <c r="N1008" s="54" t="s">
        <v>156</v>
      </c>
      <c r="O1008" s="54" t="s">
        <v>156</v>
      </c>
    </row>
    <row r="1009" spans="1:15" x14ac:dyDescent="0.35">
      <c r="A1009" s="59" t="s">
        <v>186</v>
      </c>
      <c r="B1009" s="60">
        <v>45186</v>
      </c>
      <c r="C1009" s="54">
        <v>77.605184290974208</v>
      </c>
      <c r="D1009" s="54">
        <v>77.605184290974208</v>
      </c>
      <c r="E1009"/>
      <c r="F1009"/>
      <c r="G1009" t="e">
        <v>#N/A</v>
      </c>
      <c r="H1009" s="54">
        <v>921</v>
      </c>
      <c r="I1009" s="54">
        <v>89</v>
      </c>
      <c r="J1009" s="54">
        <v>1009</v>
      </c>
      <c r="K1009" s="54">
        <v>1008</v>
      </c>
      <c r="L1009" s="54" t="e">
        <v>#N/A</v>
      </c>
      <c r="M1009" s="54" t="s">
        <v>156</v>
      </c>
      <c r="N1009" s="54" t="s">
        <v>156</v>
      </c>
      <c r="O1009" s="54" t="s">
        <v>156</v>
      </c>
    </row>
    <row r="1010" spans="1:15" x14ac:dyDescent="0.35">
      <c r="A1010" s="59" t="s">
        <v>186</v>
      </c>
      <c r="B1010" s="60">
        <v>45193</v>
      </c>
      <c r="C1010" s="54">
        <v>101.93273468877105</v>
      </c>
      <c r="D1010" s="54">
        <v>101.93273468877105</v>
      </c>
      <c r="E1010"/>
      <c r="F1010"/>
      <c r="G1010" t="e">
        <v>#N/A</v>
      </c>
      <c r="H1010" s="54">
        <v>921</v>
      </c>
      <c r="I1010" s="54">
        <v>90</v>
      </c>
      <c r="J1010" s="54">
        <v>1010</v>
      </c>
      <c r="K1010" s="54">
        <v>1009</v>
      </c>
      <c r="L1010" s="54" t="e">
        <v>#N/A</v>
      </c>
      <c r="M1010" s="54" t="s">
        <v>156</v>
      </c>
      <c r="N1010" s="54" t="s">
        <v>156</v>
      </c>
      <c r="O1010" s="54" t="s">
        <v>156</v>
      </c>
    </row>
    <row r="1011" spans="1:15" x14ac:dyDescent="0.35">
      <c r="A1011" s="59" t="s">
        <v>186</v>
      </c>
      <c r="B1011" s="60">
        <v>45200</v>
      </c>
      <c r="C1011" s="54">
        <v>36.758707990203362</v>
      </c>
      <c r="D1011" s="54">
        <v>36.758707990203362</v>
      </c>
      <c r="E1011"/>
      <c r="F1011"/>
      <c r="G1011" t="e">
        <v>#N/A</v>
      </c>
      <c r="H1011" s="54">
        <v>921</v>
      </c>
      <c r="I1011" s="54">
        <v>91</v>
      </c>
      <c r="J1011" s="54">
        <v>1011</v>
      </c>
      <c r="K1011" s="54">
        <v>1010</v>
      </c>
      <c r="L1011" s="54" t="e">
        <v>#N/A</v>
      </c>
      <c r="M1011" s="54" t="s">
        <v>156</v>
      </c>
      <c r="N1011" s="54" t="s">
        <v>156</v>
      </c>
      <c r="O1011" s="54" t="s">
        <v>156</v>
      </c>
    </row>
    <row r="1012" spans="1:15" x14ac:dyDescent="0.35">
      <c r="A1012" s="59" t="s">
        <v>186</v>
      </c>
      <c r="B1012" s="60">
        <v>45207</v>
      </c>
      <c r="C1012" s="54">
        <v>80.28975528590135</v>
      </c>
      <c r="D1012" s="54">
        <v>80.28975528590135</v>
      </c>
      <c r="E1012"/>
      <c r="F1012"/>
      <c r="G1012" t="e">
        <v>#N/A</v>
      </c>
      <c r="H1012" s="54">
        <v>921</v>
      </c>
      <c r="I1012" s="54">
        <v>92</v>
      </c>
      <c r="J1012" s="54">
        <v>1012</v>
      </c>
      <c r="K1012" s="54">
        <v>1011</v>
      </c>
      <c r="L1012" s="54" t="e">
        <v>#N/A</v>
      </c>
      <c r="M1012" s="54" t="s">
        <v>156</v>
      </c>
      <c r="N1012" s="54" t="s">
        <v>156</v>
      </c>
      <c r="O1012" s="54" t="s">
        <v>156</v>
      </c>
    </row>
    <row r="1013" spans="1:15" x14ac:dyDescent="0.35">
      <c r="A1013" s="59" t="s">
        <v>186</v>
      </c>
      <c r="B1013" s="60">
        <v>45214</v>
      </c>
      <c r="C1013" s="54">
        <v>158.18350550821748</v>
      </c>
      <c r="D1013" s="54">
        <v>158.18350550821748</v>
      </c>
      <c r="E1013"/>
      <c r="F1013"/>
      <c r="G1013" t="e">
        <v>#N/A</v>
      </c>
      <c r="H1013" s="54">
        <v>921</v>
      </c>
      <c r="I1013" s="54">
        <v>93</v>
      </c>
      <c r="J1013" s="54">
        <v>1013</v>
      </c>
      <c r="K1013" s="54">
        <v>1012</v>
      </c>
      <c r="L1013" s="54" t="e">
        <v>#N/A</v>
      </c>
      <c r="M1013" s="54" t="s">
        <v>156</v>
      </c>
      <c r="N1013" s="54" t="s">
        <v>156</v>
      </c>
      <c r="O1013" s="54" t="s">
        <v>156</v>
      </c>
    </row>
    <row r="1014" spans="1:15" x14ac:dyDescent="0.35">
      <c r="A1014" s="59" t="s">
        <v>186</v>
      </c>
      <c r="B1014" s="60">
        <v>45221</v>
      </c>
      <c r="C1014" s="54">
        <v>8.292772218880728</v>
      </c>
      <c r="D1014" s="54">
        <v>8.292772218880728</v>
      </c>
      <c r="E1014"/>
      <c r="F1014"/>
      <c r="G1014" t="e">
        <v>#N/A</v>
      </c>
      <c r="H1014" s="54">
        <v>921</v>
      </c>
      <c r="I1014" s="54">
        <v>94</v>
      </c>
      <c r="J1014" s="54">
        <v>1014</v>
      </c>
      <c r="K1014" s="54">
        <v>1013</v>
      </c>
      <c r="L1014" s="54" t="e">
        <v>#N/A</v>
      </c>
      <c r="M1014" s="54" t="s">
        <v>156</v>
      </c>
      <c r="N1014" s="54" t="s">
        <v>156</v>
      </c>
      <c r="O1014" s="54" t="s">
        <v>156</v>
      </c>
    </row>
    <row r="1015" spans="1:15" x14ac:dyDescent="0.35">
      <c r="A1015" s="59" t="s">
        <v>186</v>
      </c>
      <c r="B1015" s="60">
        <v>45228</v>
      </c>
      <c r="C1015" s="54">
        <v>103.36708986578606</v>
      </c>
      <c r="D1015" s="54">
        <v>103.36708986578606</v>
      </c>
      <c r="E1015"/>
      <c r="F1015"/>
      <c r="G1015" t="e">
        <v>#N/A</v>
      </c>
      <c r="H1015" s="54">
        <v>921</v>
      </c>
      <c r="I1015" s="54">
        <v>95</v>
      </c>
      <c r="J1015" s="54">
        <v>1015</v>
      </c>
      <c r="K1015" s="54">
        <v>1014</v>
      </c>
      <c r="L1015" s="54" t="e">
        <v>#N/A</v>
      </c>
      <c r="M1015" s="54" t="s">
        <v>156</v>
      </c>
      <c r="N1015" s="54" t="s">
        <v>156</v>
      </c>
      <c r="O1015" s="54" t="s">
        <v>156</v>
      </c>
    </row>
    <row r="1016" spans="1:15" x14ac:dyDescent="0.35">
      <c r="A1016" s="59" t="s">
        <v>186</v>
      </c>
      <c r="B1016" s="60">
        <v>45235</v>
      </c>
      <c r="C1016" s="54">
        <v>112.62821336390655</v>
      </c>
      <c r="D1016" s="54">
        <v>112.62821336390655</v>
      </c>
      <c r="E1016"/>
      <c r="F1016"/>
      <c r="G1016" t="e">
        <v>#N/A</v>
      </c>
      <c r="H1016" s="54">
        <v>921</v>
      </c>
      <c r="I1016" s="54">
        <v>96</v>
      </c>
      <c r="J1016" s="54">
        <v>1016</v>
      </c>
      <c r="K1016" s="54">
        <v>1015</v>
      </c>
      <c r="L1016" s="54" t="e">
        <v>#N/A</v>
      </c>
      <c r="M1016" s="54" t="s">
        <v>156</v>
      </c>
      <c r="N1016" s="54" t="s">
        <v>156</v>
      </c>
      <c r="O1016" s="54" t="s">
        <v>156</v>
      </c>
    </row>
    <row r="1017" spans="1:15" x14ac:dyDescent="0.35">
      <c r="A1017" s="59" t="s">
        <v>186</v>
      </c>
      <c r="B1017" s="60">
        <v>45242</v>
      </c>
      <c r="C1017" s="54">
        <v>113.07917728035987</v>
      </c>
      <c r="D1017" s="54">
        <v>113.07917728035987</v>
      </c>
      <c r="E1017"/>
      <c r="F1017"/>
      <c r="G1017" t="e">
        <v>#N/A</v>
      </c>
      <c r="H1017" s="54">
        <v>921</v>
      </c>
      <c r="I1017" s="54">
        <v>97</v>
      </c>
      <c r="J1017" s="54">
        <v>1017</v>
      </c>
      <c r="K1017" s="54">
        <v>1016</v>
      </c>
      <c r="L1017" s="54" t="e">
        <v>#N/A</v>
      </c>
      <c r="M1017" s="54" t="s">
        <v>156</v>
      </c>
      <c r="N1017" s="54" t="s">
        <v>156</v>
      </c>
      <c r="O1017" s="54" t="s">
        <v>156</v>
      </c>
    </row>
    <row r="1018" spans="1:15" x14ac:dyDescent="0.35">
      <c r="A1018" s="59" t="s">
        <v>186</v>
      </c>
      <c r="B1018" s="60">
        <v>45249</v>
      </c>
      <c r="C1018" s="54">
        <v>37.975634749008861</v>
      </c>
      <c r="D1018" s="54">
        <v>37.975634749008861</v>
      </c>
      <c r="E1018"/>
      <c r="F1018"/>
      <c r="G1018" t="e">
        <v>#N/A</v>
      </c>
      <c r="H1018" s="54">
        <v>921</v>
      </c>
      <c r="I1018" s="54">
        <v>98</v>
      </c>
      <c r="J1018" s="54">
        <v>1018</v>
      </c>
      <c r="K1018" s="54">
        <v>1017</v>
      </c>
      <c r="L1018" s="54" t="e">
        <v>#N/A</v>
      </c>
      <c r="M1018" s="54" t="s">
        <v>156</v>
      </c>
      <c r="N1018" s="54" t="s">
        <v>156</v>
      </c>
      <c r="O1018" s="54" t="s">
        <v>156</v>
      </c>
    </row>
    <row r="1019" spans="1:15" x14ac:dyDescent="0.35">
      <c r="A1019" s="59" t="s">
        <v>186</v>
      </c>
      <c r="B1019" s="60">
        <v>45256</v>
      </c>
      <c r="C1019" s="54">
        <v>33.928278413794487</v>
      </c>
      <c r="D1019" s="54">
        <v>33.928278413794487</v>
      </c>
      <c r="E1019"/>
      <c r="F1019"/>
      <c r="G1019" t="e">
        <v>#N/A</v>
      </c>
      <c r="H1019" s="54">
        <v>921</v>
      </c>
      <c r="I1019" s="54">
        <v>99</v>
      </c>
      <c r="J1019" s="54">
        <v>1019</v>
      </c>
      <c r="K1019" s="54">
        <v>1018</v>
      </c>
      <c r="L1019" s="54" t="e">
        <v>#N/A</v>
      </c>
      <c r="M1019" s="54" t="s">
        <v>156</v>
      </c>
      <c r="N1019" s="54" t="s">
        <v>156</v>
      </c>
      <c r="O1019" s="54" t="s">
        <v>156</v>
      </c>
    </row>
    <row r="1020" spans="1:15" x14ac:dyDescent="0.35">
      <c r="A1020" s="59" t="s">
        <v>186</v>
      </c>
      <c r="B1020" s="60">
        <v>45263</v>
      </c>
      <c r="C1020" s="54">
        <v>169.93545336841208</v>
      </c>
      <c r="D1020" s="54">
        <v>169.93545336841208</v>
      </c>
      <c r="E1020"/>
      <c r="F1020"/>
      <c r="G1020" t="e">
        <v>#N/A</v>
      </c>
      <c r="H1020" s="54">
        <v>921</v>
      </c>
      <c r="I1020" s="54">
        <v>100</v>
      </c>
      <c r="J1020" s="54">
        <v>1020</v>
      </c>
      <c r="K1020" s="54">
        <v>1019</v>
      </c>
      <c r="L1020" s="54" t="e">
        <v>#N/A</v>
      </c>
      <c r="M1020" s="54" t="s">
        <v>156</v>
      </c>
      <c r="N1020" s="54" t="s">
        <v>156</v>
      </c>
      <c r="O1020" s="54" t="s">
        <v>156</v>
      </c>
    </row>
    <row r="1021" spans="1:15" x14ac:dyDescent="0.35">
      <c r="A1021" s="59" t="s">
        <v>186</v>
      </c>
      <c r="B1021" s="60">
        <v>45270</v>
      </c>
      <c r="C1021" s="54">
        <v>30.962767446880363</v>
      </c>
      <c r="D1021" s="54">
        <v>30.962767446880363</v>
      </c>
      <c r="E1021"/>
      <c r="F1021"/>
      <c r="G1021" t="e">
        <v>#N/A</v>
      </c>
      <c r="H1021" s="54">
        <v>921</v>
      </c>
      <c r="I1021" s="54">
        <v>101</v>
      </c>
      <c r="J1021" s="54">
        <v>1021</v>
      </c>
      <c r="K1021" s="54">
        <v>1020</v>
      </c>
      <c r="L1021" s="54" t="e">
        <v>#N/A</v>
      </c>
      <c r="M1021" s="54" t="s">
        <v>156</v>
      </c>
      <c r="N1021" s="54" t="s">
        <v>156</v>
      </c>
      <c r="O1021" s="54" t="s">
        <v>156</v>
      </c>
    </row>
    <row r="1022" spans="1:15" x14ac:dyDescent="0.35">
      <c r="A1022" s="59" t="s">
        <v>186</v>
      </c>
      <c r="B1022" s="60">
        <v>45277</v>
      </c>
      <c r="C1022" s="54">
        <v>165.32257632553285</v>
      </c>
      <c r="D1022" s="54">
        <v>165.32257632553285</v>
      </c>
      <c r="E1022"/>
      <c r="F1022"/>
      <c r="G1022" t="e">
        <v>#N/A</v>
      </c>
      <c r="H1022" s="54">
        <v>921</v>
      </c>
      <c r="I1022" s="54">
        <v>102</v>
      </c>
      <c r="J1022" s="54">
        <v>1022</v>
      </c>
      <c r="K1022" s="54">
        <v>1021</v>
      </c>
      <c r="L1022" s="54" t="e">
        <v>#N/A</v>
      </c>
      <c r="M1022" s="54" t="s">
        <v>156</v>
      </c>
      <c r="N1022" s="54" t="s">
        <v>156</v>
      </c>
      <c r="O1022" s="54" t="s">
        <v>156</v>
      </c>
    </row>
    <row r="1023" spans="1:15" x14ac:dyDescent="0.35">
      <c r="A1023" s="59" t="s">
        <v>186</v>
      </c>
      <c r="B1023" s="60">
        <v>45284</v>
      </c>
      <c r="C1023" s="54">
        <v>75.895296051145436</v>
      </c>
      <c r="D1023" s="54">
        <v>75.895296051145436</v>
      </c>
      <c r="E1023"/>
      <c r="F1023"/>
      <c r="G1023" t="e">
        <v>#N/A</v>
      </c>
      <c r="H1023" s="54">
        <v>921</v>
      </c>
      <c r="I1023" s="54">
        <v>103</v>
      </c>
      <c r="J1023" s="54">
        <v>1023</v>
      </c>
      <c r="K1023" s="54">
        <v>1022</v>
      </c>
      <c r="L1023" s="54" t="e">
        <v>#N/A</v>
      </c>
      <c r="M1023" s="54" t="s">
        <v>156</v>
      </c>
      <c r="N1023" s="54" t="s">
        <v>156</v>
      </c>
      <c r="O1023" s="54" t="s">
        <v>156</v>
      </c>
    </row>
    <row r="1024" spans="1:15" x14ac:dyDescent="0.35">
      <c r="A1024" s="59" t="s">
        <v>186</v>
      </c>
      <c r="B1024" s="60">
        <v>45291</v>
      </c>
      <c r="C1024" s="54">
        <v>169.5633723166377</v>
      </c>
      <c r="D1024" s="54">
        <v>169.5633723166377</v>
      </c>
      <c r="E1024"/>
      <c r="F1024"/>
      <c r="G1024" t="e">
        <v>#N/A</v>
      </c>
      <c r="H1024" s="54">
        <v>921</v>
      </c>
      <c r="I1024" s="54">
        <v>104</v>
      </c>
      <c r="J1024" s="54">
        <v>1024</v>
      </c>
      <c r="K1024" s="54">
        <v>1023</v>
      </c>
      <c r="L1024" s="54" t="e">
        <v>#N/A</v>
      </c>
      <c r="M1024" s="54" t="s">
        <v>156</v>
      </c>
      <c r="N1024" s="54" t="s">
        <v>156</v>
      </c>
      <c r="O1024" s="54" t="s">
        <v>156</v>
      </c>
    </row>
    <row r="1025" spans="1:15" x14ac:dyDescent="0.35">
      <c r="A1025" s="59" t="s">
        <v>186</v>
      </c>
      <c r="B1025" s="60">
        <v>45298</v>
      </c>
      <c r="C1025" s="54">
        <v>79.535007153915956</v>
      </c>
      <c r="D1025" s="54">
        <v>79.535007153915956</v>
      </c>
      <c r="E1025"/>
      <c r="F1025"/>
      <c r="G1025" t="e">
        <v>#N/A</v>
      </c>
      <c r="H1025" s="54">
        <v>921</v>
      </c>
      <c r="I1025" s="54">
        <v>105</v>
      </c>
      <c r="J1025" s="54">
        <v>1025</v>
      </c>
      <c r="K1025" s="54">
        <v>1024</v>
      </c>
      <c r="L1025" s="54" t="e">
        <v>#N/A</v>
      </c>
      <c r="M1025" s="54" t="s">
        <v>156</v>
      </c>
      <c r="N1025" s="54" t="s">
        <v>156</v>
      </c>
      <c r="O1025" s="54" t="s">
        <v>156</v>
      </c>
    </row>
    <row r="1026" spans="1:15" x14ac:dyDescent="0.35">
      <c r="A1026" s="59" t="s">
        <v>186</v>
      </c>
      <c r="B1026" s="60">
        <v>45305</v>
      </c>
      <c r="C1026" s="54">
        <v>34.929022906102588</v>
      </c>
      <c r="D1026" s="54">
        <v>34.929022906102588</v>
      </c>
      <c r="E1026"/>
      <c r="F1026"/>
      <c r="G1026" t="e">
        <v>#N/A</v>
      </c>
      <c r="H1026" s="54">
        <v>921</v>
      </c>
      <c r="I1026" s="54">
        <v>106</v>
      </c>
      <c r="J1026" s="54">
        <v>1026</v>
      </c>
      <c r="K1026" s="54">
        <v>1025</v>
      </c>
      <c r="L1026" s="54" t="e">
        <v>#N/A</v>
      </c>
      <c r="M1026" s="54" t="s">
        <v>156</v>
      </c>
      <c r="N1026" s="54" t="s">
        <v>156</v>
      </c>
      <c r="O1026" s="54" t="s">
        <v>156</v>
      </c>
    </row>
    <row r="1027" spans="1:15" x14ac:dyDescent="0.35">
      <c r="A1027" s="59" t="s">
        <v>186</v>
      </c>
      <c r="B1027" s="60">
        <v>45312</v>
      </c>
      <c r="C1027" s="54">
        <v>156.43084002317585</v>
      </c>
      <c r="D1027" s="54">
        <v>156.43084002317585</v>
      </c>
      <c r="E1027"/>
      <c r="F1027"/>
      <c r="G1027" t="e">
        <v>#N/A</v>
      </c>
      <c r="H1027" s="54">
        <v>921</v>
      </c>
      <c r="I1027" s="54">
        <v>107</v>
      </c>
      <c r="J1027" s="54">
        <v>1027</v>
      </c>
      <c r="K1027" s="54">
        <v>1026</v>
      </c>
      <c r="L1027" s="54" t="e">
        <v>#N/A</v>
      </c>
      <c r="M1027" s="54" t="s">
        <v>156</v>
      </c>
      <c r="N1027" s="54" t="s">
        <v>156</v>
      </c>
      <c r="O1027" s="54" t="s">
        <v>156</v>
      </c>
    </row>
    <row r="1028" spans="1:15" x14ac:dyDescent="0.35">
      <c r="A1028" s="59" t="s">
        <v>186</v>
      </c>
      <c r="B1028" s="60">
        <v>45319</v>
      </c>
      <c r="C1028" s="54">
        <v>104.11922598328809</v>
      </c>
      <c r="D1028" s="54">
        <v>104.11922598328809</v>
      </c>
      <c r="E1028"/>
      <c r="F1028"/>
      <c r="G1028" t="e">
        <v>#N/A</v>
      </c>
      <c r="H1028" s="54">
        <v>921</v>
      </c>
      <c r="I1028" s="54">
        <v>108</v>
      </c>
      <c r="J1028" s="54">
        <v>1028</v>
      </c>
      <c r="K1028" s="54">
        <v>1027</v>
      </c>
      <c r="L1028" s="54" t="e">
        <v>#N/A</v>
      </c>
      <c r="M1028" s="54" t="s">
        <v>156</v>
      </c>
      <c r="N1028" s="54" t="s">
        <v>156</v>
      </c>
      <c r="O1028" s="54" t="s">
        <v>156</v>
      </c>
    </row>
    <row r="1029" spans="1:15" x14ac:dyDescent="0.35">
      <c r="A1029" s="59" t="s">
        <v>186</v>
      </c>
      <c r="B1029" s="60">
        <v>45326</v>
      </c>
      <c r="C1029" s="54">
        <v>192.20088860830657</v>
      </c>
      <c r="D1029" s="54">
        <v>192.20088860830657</v>
      </c>
      <c r="E1029"/>
      <c r="F1029"/>
      <c r="G1029" t="e">
        <v>#N/A</v>
      </c>
      <c r="H1029" s="54">
        <v>921</v>
      </c>
      <c r="I1029" s="54">
        <v>109</v>
      </c>
      <c r="J1029" s="54">
        <v>1029</v>
      </c>
      <c r="K1029" s="54">
        <v>1028</v>
      </c>
      <c r="L1029" s="54" t="e">
        <v>#N/A</v>
      </c>
      <c r="M1029" s="54" t="s">
        <v>156</v>
      </c>
      <c r="N1029" s="54" t="s">
        <v>156</v>
      </c>
      <c r="O1029" s="54" t="s">
        <v>156</v>
      </c>
    </row>
    <row r="1030" spans="1:15" x14ac:dyDescent="0.35">
      <c r="A1030" s="59" t="s">
        <v>186</v>
      </c>
      <c r="B1030" s="60">
        <v>45333</v>
      </c>
      <c r="C1030" s="54">
        <v>158.96286322641103</v>
      </c>
      <c r="D1030" s="54">
        <v>158.96286322641103</v>
      </c>
      <c r="E1030"/>
      <c r="F1030"/>
      <c r="G1030" t="e">
        <v>#N/A</v>
      </c>
      <c r="H1030" s="54">
        <v>921</v>
      </c>
      <c r="I1030" s="54">
        <v>110</v>
      </c>
      <c r="J1030" s="54">
        <v>1030</v>
      </c>
      <c r="K1030" s="54">
        <v>1029</v>
      </c>
      <c r="L1030" s="54" t="e">
        <v>#N/A</v>
      </c>
      <c r="M1030" s="54" t="s">
        <v>156</v>
      </c>
      <c r="N1030" s="54" t="s">
        <v>156</v>
      </c>
      <c r="O1030" s="54" t="s">
        <v>156</v>
      </c>
    </row>
    <row r="1031" spans="1:15" x14ac:dyDescent="0.35">
      <c r="A1031" s="59" t="s">
        <v>186</v>
      </c>
      <c r="B1031" s="60">
        <v>45340</v>
      </c>
      <c r="C1031" s="54">
        <v>91.782923809952024</v>
      </c>
      <c r="D1031" s="54">
        <v>91.782923809952024</v>
      </c>
      <c r="E1031"/>
      <c r="F1031"/>
      <c r="G1031" t="e">
        <v>#N/A</v>
      </c>
      <c r="H1031" s="54">
        <v>921</v>
      </c>
      <c r="I1031" s="54">
        <v>111</v>
      </c>
      <c r="J1031" s="54">
        <v>1031</v>
      </c>
      <c r="K1031" s="54">
        <v>1030</v>
      </c>
      <c r="L1031" s="54" t="e">
        <v>#N/A</v>
      </c>
      <c r="M1031" s="54" t="s">
        <v>156</v>
      </c>
      <c r="N1031" s="54" t="s">
        <v>156</v>
      </c>
      <c r="O1031" s="54" t="s">
        <v>156</v>
      </c>
    </row>
    <row r="1032" spans="1:15" x14ac:dyDescent="0.35">
      <c r="A1032" s="59" t="s">
        <v>186</v>
      </c>
      <c r="B1032" s="60">
        <v>45347</v>
      </c>
      <c r="C1032" s="54">
        <v>78.701032959348964</v>
      </c>
      <c r="D1032" s="54">
        <v>78.701032959348964</v>
      </c>
      <c r="E1032"/>
      <c r="F1032"/>
      <c r="G1032" t="e">
        <v>#N/A</v>
      </c>
      <c r="H1032" s="54">
        <v>921</v>
      </c>
      <c r="I1032" s="54">
        <v>112</v>
      </c>
      <c r="J1032" s="54">
        <v>1032</v>
      </c>
      <c r="K1032" s="54">
        <v>1031</v>
      </c>
      <c r="L1032" s="54" t="e">
        <v>#N/A</v>
      </c>
      <c r="M1032" s="54" t="s">
        <v>156</v>
      </c>
      <c r="N1032" s="54" t="s">
        <v>156</v>
      </c>
      <c r="O1032" s="54" t="s">
        <v>156</v>
      </c>
    </row>
    <row r="1033" spans="1:15" x14ac:dyDescent="0.35">
      <c r="A1033" s="59" t="s">
        <v>186</v>
      </c>
      <c r="B1033" s="60">
        <v>45354</v>
      </c>
      <c r="C1033" s="54">
        <v>107.27606504995987</v>
      </c>
      <c r="D1033" s="54">
        <v>107.27606504995987</v>
      </c>
      <c r="E1033"/>
      <c r="F1033"/>
      <c r="G1033" t="e">
        <v>#N/A</v>
      </c>
      <c r="H1033" s="54">
        <v>921</v>
      </c>
      <c r="I1033" s="54">
        <v>113</v>
      </c>
      <c r="J1033" s="54">
        <v>1033</v>
      </c>
      <c r="K1033" s="54">
        <v>1032</v>
      </c>
      <c r="L1033" s="54" t="e">
        <v>#N/A</v>
      </c>
      <c r="M1033" s="54" t="s">
        <v>156</v>
      </c>
      <c r="N1033" s="54" t="s">
        <v>156</v>
      </c>
      <c r="O1033" s="54" t="s">
        <v>156</v>
      </c>
    </row>
    <row r="1034" spans="1:15" x14ac:dyDescent="0.35">
      <c r="A1034" s="59" t="s">
        <v>186</v>
      </c>
      <c r="B1034" s="60">
        <v>45361</v>
      </c>
      <c r="C1034" s="54">
        <v>117.38362791292504</v>
      </c>
      <c r="D1034" s="54">
        <v>117.38362791292504</v>
      </c>
      <c r="E1034"/>
      <c r="F1034"/>
      <c r="G1034" t="e">
        <v>#N/A</v>
      </c>
      <c r="H1034" s="54">
        <v>921</v>
      </c>
      <c r="I1034" s="54">
        <v>114</v>
      </c>
      <c r="J1034" s="54">
        <v>1034</v>
      </c>
      <c r="K1034" s="54">
        <v>1033</v>
      </c>
      <c r="L1034" s="54" t="e">
        <v>#N/A</v>
      </c>
      <c r="M1034" s="54" t="s">
        <v>156</v>
      </c>
      <c r="N1034" s="54" t="s">
        <v>156</v>
      </c>
      <c r="O1034" s="54" t="s">
        <v>156</v>
      </c>
    </row>
    <row r="1035" spans="1:15" x14ac:dyDescent="0.35">
      <c r="A1035" s="59" t="s">
        <v>186</v>
      </c>
      <c r="B1035" s="60">
        <v>45368</v>
      </c>
      <c r="C1035" s="54">
        <v>53.203593288456453</v>
      </c>
      <c r="D1035" s="54">
        <v>53.203593288456453</v>
      </c>
      <c r="E1035"/>
      <c r="F1035"/>
      <c r="G1035" t="e">
        <v>#N/A</v>
      </c>
      <c r="H1035" s="54">
        <v>921</v>
      </c>
      <c r="I1035" s="54">
        <v>115</v>
      </c>
      <c r="J1035" s="54">
        <v>1035</v>
      </c>
      <c r="K1035" s="54">
        <v>1034</v>
      </c>
      <c r="L1035" s="54" t="e">
        <v>#N/A</v>
      </c>
      <c r="M1035" s="54" t="s">
        <v>156</v>
      </c>
      <c r="N1035" s="54" t="s">
        <v>156</v>
      </c>
      <c r="O1035" s="54" t="s">
        <v>156</v>
      </c>
    </row>
    <row r="1036" spans="1:15" x14ac:dyDescent="0.35">
      <c r="A1036" s="59" t="s">
        <v>186</v>
      </c>
      <c r="B1036" s="60">
        <v>45375</v>
      </c>
      <c r="C1036" s="54">
        <v>156.90577908090242</v>
      </c>
      <c r="D1036" s="54">
        <v>156.90577908090242</v>
      </c>
      <c r="E1036"/>
      <c r="F1036"/>
      <c r="G1036" t="e">
        <v>#N/A</v>
      </c>
      <c r="H1036" s="54">
        <v>921</v>
      </c>
      <c r="I1036" s="54">
        <v>116</v>
      </c>
      <c r="J1036" s="54">
        <v>1036</v>
      </c>
      <c r="K1036" s="54">
        <v>1035</v>
      </c>
      <c r="L1036" s="54" t="e">
        <v>#N/A</v>
      </c>
      <c r="M1036" s="54" t="s">
        <v>156</v>
      </c>
      <c r="N1036" s="54" t="s">
        <v>156</v>
      </c>
      <c r="O1036" s="54" t="s">
        <v>156</v>
      </c>
    </row>
    <row r="1037" spans="1:15" x14ac:dyDescent="0.35">
      <c r="A1037" s="59" t="s">
        <v>186</v>
      </c>
      <c r="B1037" s="60">
        <v>45382</v>
      </c>
      <c r="C1037" s="54">
        <v>87.77311831924348</v>
      </c>
      <c r="D1037" s="54">
        <v>87.77311831924348</v>
      </c>
      <c r="E1037"/>
      <c r="F1037"/>
      <c r="G1037" t="e">
        <v>#N/A</v>
      </c>
      <c r="H1037" s="54">
        <v>921</v>
      </c>
      <c r="I1037" s="54">
        <v>117</v>
      </c>
      <c r="J1037" s="54">
        <v>1037</v>
      </c>
      <c r="K1037" s="54">
        <v>1036</v>
      </c>
      <c r="L1037" s="54" t="e">
        <v>#N/A</v>
      </c>
      <c r="M1037" s="54" t="s">
        <v>156</v>
      </c>
      <c r="N1037" s="54" t="s">
        <v>156</v>
      </c>
      <c r="O1037" s="54" t="s">
        <v>156</v>
      </c>
    </row>
    <row r="1038" spans="1:15" x14ac:dyDescent="0.35">
      <c r="A1038" s="59" t="s">
        <v>186</v>
      </c>
      <c r="B1038" s="60">
        <v>45389</v>
      </c>
      <c r="C1038" s="54">
        <v>84.241464381905999</v>
      </c>
      <c r="D1038" s="54">
        <v>84.241464381905999</v>
      </c>
      <c r="E1038"/>
      <c r="F1038"/>
      <c r="G1038" t="e">
        <v>#N/A</v>
      </c>
      <c r="H1038" s="54">
        <v>921</v>
      </c>
      <c r="I1038" s="54">
        <v>118</v>
      </c>
      <c r="J1038" s="54">
        <v>1038</v>
      </c>
      <c r="K1038" s="54">
        <v>1037</v>
      </c>
      <c r="L1038" s="54" t="e">
        <v>#N/A</v>
      </c>
      <c r="M1038" s="54" t="s">
        <v>156</v>
      </c>
      <c r="N1038" s="54" t="s">
        <v>156</v>
      </c>
      <c r="O1038" s="54" t="s">
        <v>156</v>
      </c>
    </row>
    <row r="1039" spans="1:15" x14ac:dyDescent="0.35">
      <c r="A1039" s="59" t="s">
        <v>186</v>
      </c>
      <c r="B1039" s="60">
        <v>45396</v>
      </c>
      <c r="C1039" s="54">
        <v>74.332397777209877</v>
      </c>
      <c r="D1039" s="54">
        <v>74.332397777209877</v>
      </c>
      <c r="E1039"/>
      <c r="F1039"/>
      <c r="G1039" t="e">
        <v>#N/A</v>
      </c>
      <c r="H1039" s="54">
        <v>921</v>
      </c>
      <c r="I1039" s="54">
        <v>119</v>
      </c>
      <c r="J1039" s="54">
        <v>1039</v>
      </c>
      <c r="K1039" s="54">
        <v>1038</v>
      </c>
      <c r="L1039" s="54" t="e">
        <v>#N/A</v>
      </c>
      <c r="M1039" s="54" t="s">
        <v>156</v>
      </c>
      <c r="N1039" s="54" t="s">
        <v>156</v>
      </c>
      <c r="O1039" s="54" t="s">
        <v>156</v>
      </c>
    </row>
    <row r="1040" spans="1:15" x14ac:dyDescent="0.35">
      <c r="A1040" s="59" t="s">
        <v>186</v>
      </c>
      <c r="B1040" s="60">
        <v>45403</v>
      </c>
      <c r="C1040" s="54">
        <v>156.4523252566166</v>
      </c>
      <c r="D1040" s="54">
        <v>156.4523252566166</v>
      </c>
      <c r="E1040"/>
      <c r="F1040"/>
      <c r="G1040" t="e">
        <v>#N/A</v>
      </c>
      <c r="H1040" s="54">
        <v>921</v>
      </c>
      <c r="I1040" s="54">
        <v>120</v>
      </c>
      <c r="J1040" s="54">
        <v>1040</v>
      </c>
      <c r="K1040" s="54">
        <v>1039</v>
      </c>
      <c r="L1040" s="54" t="e">
        <v>#N/A</v>
      </c>
      <c r="M1040" s="54" t="s">
        <v>156</v>
      </c>
      <c r="N1040" s="54" t="s">
        <v>156</v>
      </c>
      <c r="O1040" s="54" t="s">
        <v>156</v>
      </c>
    </row>
    <row r="1041" spans="1:15" x14ac:dyDescent="0.35">
      <c r="A1041" s="59" t="s">
        <v>186</v>
      </c>
      <c r="B1041" s="60">
        <v>45410</v>
      </c>
      <c r="C1041" s="54">
        <v>82.872549062362765</v>
      </c>
      <c r="D1041" s="54">
        <v>82.872549062362765</v>
      </c>
      <c r="E1041"/>
      <c r="F1041"/>
      <c r="G1041" t="e">
        <v>#N/A</v>
      </c>
      <c r="H1041" s="54">
        <v>921</v>
      </c>
      <c r="I1041" s="54">
        <v>121</v>
      </c>
      <c r="J1041" s="54">
        <v>1041</v>
      </c>
      <c r="K1041" s="54">
        <v>1040</v>
      </c>
      <c r="L1041" s="54" t="e">
        <v>#N/A</v>
      </c>
      <c r="M1041" s="54" t="s">
        <v>156</v>
      </c>
      <c r="N1041" s="54" t="s">
        <v>156</v>
      </c>
      <c r="O1041" s="54" t="s">
        <v>156</v>
      </c>
    </row>
    <row r="1042" spans="1:15" x14ac:dyDescent="0.35">
      <c r="A1042" s="59" t="s">
        <v>186</v>
      </c>
      <c r="B1042" s="60">
        <v>45417</v>
      </c>
      <c r="C1042" s="54">
        <v>149.62980823774825</v>
      </c>
      <c r="D1042" s="54">
        <v>149.62980823774825</v>
      </c>
      <c r="E1042"/>
      <c r="F1042"/>
      <c r="G1042" t="e">
        <v>#N/A</v>
      </c>
      <c r="H1042" s="54">
        <v>921</v>
      </c>
      <c r="I1042" s="54">
        <v>122</v>
      </c>
      <c r="J1042" s="54">
        <v>1042</v>
      </c>
      <c r="K1042" s="54">
        <v>1041</v>
      </c>
      <c r="L1042" s="54" t="e">
        <v>#N/A</v>
      </c>
      <c r="M1042" s="54" t="s">
        <v>156</v>
      </c>
      <c r="N1042" s="54" t="s">
        <v>156</v>
      </c>
      <c r="O1042" s="54" t="s">
        <v>156</v>
      </c>
    </row>
    <row r="1043" spans="1:15" x14ac:dyDescent="0.35">
      <c r="A1043" s="59" t="s">
        <v>186</v>
      </c>
      <c r="B1043" s="60">
        <v>45424</v>
      </c>
      <c r="C1043" s="54">
        <v>300.89266087917781</v>
      </c>
      <c r="D1043" s="54">
        <v>300.89266087917781</v>
      </c>
      <c r="E1043"/>
      <c r="F1043"/>
      <c r="G1043" t="e">
        <v>#N/A</v>
      </c>
      <c r="H1043" s="54">
        <v>921</v>
      </c>
      <c r="I1043" s="54">
        <v>123</v>
      </c>
      <c r="J1043" s="54">
        <v>1043</v>
      </c>
      <c r="K1043" s="54">
        <v>1042</v>
      </c>
      <c r="L1043" s="54" t="e">
        <v>#N/A</v>
      </c>
      <c r="M1043" s="54" t="s">
        <v>156</v>
      </c>
      <c r="N1043" s="54" t="s">
        <v>156</v>
      </c>
      <c r="O1043" s="54" t="s">
        <v>156</v>
      </c>
    </row>
    <row r="1044" spans="1:15" x14ac:dyDescent="0.35">
      <c r="A1044" s="59" t="s">
        <v>186</v>
      </c>
      <c r="B1044" s="60">
        <v>45431</v>
      </c>
      <c r="C1044" s="54">
        <v>129.93601681683379</v>
      </c>
      <c r="D1044" s="54">
        <v>129.93601681683379</v>
      </c>
      <c r="E1044"/>
      <c r="F1044"/>
      <c r="G1044" t="e">
        <v>#N/A</v>
      </c>
      <c r="H1044" s="54">
        <v>921</v>
      </c>
      <c r="I1044" s="54">
        <v>124</v>
      </c>
      <c r="J1044" s="54">
        <v>1044</v>
      </c>
      <c r="K1044" s="54">
        <v>1043</v>
      </c>
      <c r="L1044" s="54" t="e">
        <v>#N/A</v>
      </c>
      <c r="M1044" s="54" t="s">
        <v>156</v>
      </c>
      <c r="N1044" s="54" t="s">
        <v>156</v>
      </c>
      <c r="O1044" s="54" t="s">
        <v>156</v>
      </c>
    </row>
    <row r="1045" spans="1:15" x14ac:dyDescent="0.35">
      <c r="A1045" s="59" t="s">
        <v>186</v>
      </c>
      <c r="B1045" s="60">
        <v>45438</v>
      </c>
      <c r="C1045" s="54">
        <v>106.1783396594937</v>
      </c>
      <c r="D1045" s="54">
        <v>106.1783396594937</v>
      </c>
      <c r="E1045"/>
      <c r="F1045"/>
      <c r="G1045" t="e">
        <v>#N/A</v>
      </c>
      <c r="H1045" s="54">
        <v>921</v>
      </c>
      <c r="I1045" s="54">
        <v>125</v>
      </c>
      <c r="J1045" s="54">
        <v>1045</v>
      </c>
      <c r="K1045" s="54">
        <v>1044</v>
      </c>
      <c r="L1045" s="54" t="e">
        <v>#N/A</v>
      </c>
      <c r="M1045" s="54" t="s">
        <v>156</v>
      </c>
      <c r="N1045" s="54" t="s">
        <v>156</v>
      </c>
      <c r="O1045" s="54" t="s">
        <v>156</v>
      </c>
    </row>
    <row r="1046" spans="1:15" x14ac:dyDescent="0.35">
      <c r="A1046" s="59" t="s">
        <v>186</v>
      </c>
      <c r="B1046" s="60">
        <v>45445</v>
      </c>
      <c r="C1046" s="54">
        <v>31.156109669111984</v>
      </c>
      <c r="D1046" s="54">
        <v>31.156109669111984</v>
      </c>
      <c r="E1046"/>
      <c r="F1046"/>
      <c r="G1046" t="e">
        <v>#N/A</v>
      </c>
      <c r="H1046" s="54">
        <v>921</v>
      </c>
      <c r="I1046" s="54">
        <v>126</v>
      </c>
      <c r="J1046" s="54">
        <v>1046</v>
      </c>
      <c r="K1046" s="54">
        <v>1045</v>
      </c>
      <c r="L1046" s="54" t="e">
        <v>#N/A</v>
      </c>
      <c r="M1046" s="54" t="s">
        <v>156</v>
      </c>
      <c r="N1046" s="54" t="s">
        <v>156</v>
      </c>
      <c r="O1046" s="54" t="s">
        <v>156</v>
      </c>
    </row>
    <row r="1047" spans="1:15" x14ac:dyDescent="0.35">
      <c r="A1047" s="59" t="s">
        <v>186</v>
      </c>
      <c r="B1047" s="60">
        <v>45452</v>
      </c>
      <c r="C1047" s="54">
        <v>131.94442702282569</v>
      </c>
      <c r="D1047" s="54">
        <v>131.94442702282569</v>
      </c>
      <c r="E1047"/>
      <c r="F1047"/>
      <c r="G1047" t="e">
        <v>#N/A</v>
      </c>
      <c r="H1047" s="54">
        <v>921</v>
      </c>
      <c r="I1047" s="54">
        <v>127</v>
      </c>
      <c r="J1047" s="54">
        <v>1047</v>
      </c>
      <c r="K1047" s="54">
        <v>1046</v>
      </c>
      <c r="L1047" s="54" t="e">
        <v>#N/A</v>
      </c>
      <c r="M1047" s="54" t="s">
        <v>156</v>
      </c>
      <c r="N1047" s="54" t="s">
        <v>156</v>
      </c>
      <c r="O1047" s="54" t="s">
        <v>156</v>
      </c>
    </row>
    <row r="1048" spans="1:15" x14ac:dyDescent="0.35">
      <c r="A1048" s="59" t="s">
        <v>186</v>
      </c>
      <c r="B1048" s="60">
        <v>45459</v>
      </c>
      <c r="C1048" s="54">
        <v>64.660722534974809</v>
      </c>
      <c r="D1048" s="54">
        <v>64.660722534974809</v>
      </c>
      <c r="E1048"/>
      <c r="F1048"/>
      <c r="G1048" t="e">
        <v>#N/A</v>
      </c>
      <c r="H1048" s="54">
        <v>921</v>
      </c>
      <c r="I1048" s="54">
        <v>128</v>
      </c>
      <c r="J1048" s="54">
        <v>1048</v>
      </c>
      <c r="K1048" s="54">
        <v>1047</v>
      </c>
      <c r="L1048" s="54" t="e">
        <v>#N/A</v>
      </c>
      <c r="M1048" s="54" t="s">
        <v>156</v>
      </c>
      <c r="N1048" s="54" t="s">
        <v>156</v>
      </c>
      <c r="O1048" s="54" t="s">
        <v>156</v>
      </c>
    </row>
    <row r="1049" spans="1:15" x14ac:dyDescent="0.35">
      <c r="A1049" s="59" t="s">
        <v>186</v>
      </c>
      <c r="B1049" s="60">
        <v>45466</v>
      </c>
      <c r="C1049" s="54">
        <v>100.9083300369209</v>
      </c>
      <c r="D1049" s="54">
        <v>100.9083300369209</v>
      </c>
      <c r="E1049"/>
      <c r="F1049"/>
      <c r="G1049" t="e">
        <v>#N/A</v>
      </c>
      <c r="H1049" s="54">
        <v>921</v>
      </c>
      <c r="I1049" s="54">
        <v>129</v>
      </c>
      <c r="J1049" s="54">
        <v>1049</v>
      </c>
      <c r="K1049" s="54">
        <v>1048</v>
      </c>
      <c r="L1049" s="54" t="e">
        <v>#N/A</v>
      </c>
      <c r="M1049" s="54" t="s">
        <v>156</v>
      </c>
      <c r="N1049" s="54" t="s">
        <v>156</v>
      </c>
      <c r="O1049" s="54" t="s">
        <v>156</v>
      </c>
    </row>
    <row r="1050" spans="1:15" x14ac:dyDescent="0.35">
      <c r="A1050" s="59" t="s">
        <v>186</v>
      </c>
      <c r="B1050" s="60">
        <v>45473</v>
      </c>
      <c r="C1050" s="54">
        <v>121.34320996033865</v>
      </c>
      <c r="D1050" s="54">
        <v>121.34320996033865</v>
      </c>
      <c r="E1050"/>
      <c r="F1050"/>
      <c r="G1050" t="e">
        <v>#N/A</v>
      </c>
      <c r="H1050" s="54">
        <v>921</v>
      </c>
      <c r="I1050" s="54">
        <v>130</v>
      </c>
      <c r="J1050" s="54">
        <v>1050</v>
      </c>
      <c r="K1050" s="54">
        <v>1049</v>
      </c>
      <c r="L1050" s="54" t="e">
        <v>#N/A</v>
      </c>
      <c r="M1050" s="54" t="s">
        <v>156</v>
      </c>
      <c r="N1050" s="54" t="s">
        <v>156</v>
      </c>
      <c r="O1050" s="54" t="s">
        <v>156</v>
      </c>
    </row>
    <row r="1051" spans="1:15" x14ac:dyDescent="0.35">
      <c r="A1051" s="59" t="s">
        <v>186</v>
      </c>
      <c r="B1051" s="60">
        <v>45480</v>
      </c>
      <c r="C1051" s="54">
        <v>5.9073782210628423</v>
      </c>
      <c r="D1051" s="54">
        <v>5.9073782210628423</v>
      </c>
      <c r="E1051"/>
      <c r="F1051"/>
      <c r="G1051" t="e">
        <v>#N/A</v>
      </c>
      <c r="H1051" s="54">
        <v>921</v>
      </c>
      <c r="I1051" s="54">
        <v>131</v>
      </c>
      <c r="J1051" s="54">
        <v>1051</v>
      </c>
      <c r="K1051" s="54">
        <v>1050</v>
      </c>
      <c r="L1051" s="54" t="e">
        <v>#N/A</v>
      </c>
      <c r="M1051" s="54" t="s">
        <v>156</v>
      </c>
      <c r="N1051" s="54" t="s">
        <v>156</v>
      </c>
      <c r="O1051" s="54" t="s">
        <v>156</v>
      </c>
    </row>
    <row r="1052" spans="1:15" x14ac:dyDescent="0.35">
      <c r="A1052" s="59" t="s">
        <v>186</v>
      </c>
      <c r="B1052" s="60">
        <v>45487</v>
      </c>
      <c r="C1052" s="54">
        <v>118.90308317371932</v>
      </c>
      <c r="D1052" s="54">
        <v>118.90308317371932</v>
      </c>
      <c r="E1052"/>
      <c r="F1052"/>
      <c r="G1052" t="e">
        <v>#N/A</v>
      </c>
      <c r="H1052" s="54">
        <v>921</v>
      </c>
      <c r="I1052" s="54">
        <v>132</v>
      </c>
      <c r="J1052" s="54">
        <v>1052</v>
      </c>
      <c r="K1052" s="54">
        <v>1051</v>
      </c>
      <c r="L1052" s="54" t="e">
        <v>#N/A</v>
      </c>
      <c r="M1052" s="54" t="s">
        <v>156</v>
      </c>
      <c r="N1052" s="54" t="s">
        <v>156</v>
      </c>
      <c r="O1052" s="54" t="s">
        <v>156</v>
      </c>
    </row>
    <row r="1053" spans="1:15" x14ac:dyDescent="0.35">
      <c r="A1053" s="59" t="s">
        <v>186</v>
      </c>
      <c r="B1053" s="60">
        <v>45494</v>
      </c>
      <c r="C1053" s="54">
        <v>127.84333103664295</v>
      </c>
      <c r="D1053" s="54">
        <v>127.84333103664295</v>
      </c>
      <c r="E1053"/>
      <c r="F1053"/>
      <c r="G1053" t="e">
        <v>#N/A</v>
      </c>
      <c r="H1053" s="54">
        <v>921</v>
      </c>
      <c r="I1053" s="54">
        <v>133</v>
      </c>
      <c r="J1053" s="54">
        <v>1053</v>
      </c>
      <c r="K1053" s="54">
        <v>1052</v>
      </c>
      <c r="L1053" s="54" t="e">
        <v>#N/A</v>
      </c>
      <c r="M1053" s="54" t="s">
        <v>156</v>
      </c>
      <c r="N1053" s="54" t="s">
        <v>156</v>
      </c>
      <c r="O1053" s="54" t="s">
        <v>156</v>
      </c>
    </row>
    <row r="1054" spans="1:15" x14ac:dyDescent="0.35">
      <c r="A1054" s="59" t="s">
        <v>186</v>
      </c>
      <c r="B1054" s="60">
        <v>45501</v>
      </c>
      <c r="C1054" s="54">
        <v>32.823515812114465</v>
      </c>
      <c r="D1054" s="54">
        <v>32.823515812114465</v>
      </c>
      <c r="E1054"/>
      <c r="F1054"/>
      <c r="G1054" t="e">
        <v>#N/A</v>
      </c>
      <c r="H1054" s="54">
        <v>921</v>
      </c>
      <c r="I1054" s="54">
        <v>134</v>
      </c>
      <c r="J1054" s="54">
        <v>1054</v>
      </c>
      <c r="K1054" s="54">
        <v>1053</v>
      </c>
      <c r="L1054" s="54" t="e">
        <v>#N/A</v>
      </c>
      <c r="M1054" s="54" t="s">
        <v>156</v>
      </c>
      <c r="N1054" s="54" t="s">
        <v>156</v>
      </c>
      <c r="O1054" s="54" t="s">
        <v>156</v>
      </c>
    </row>
    <row r="1055" spans="1:15" x14ac:dyDescent="0.35">
      <c r="A1055" s="59" t="s">
        <v>186</v>
      </c>
      <c r="B1055" s="60">
        <v>45508</v>
      </c>
      <c r="C1055" s="54">
        <v>88.072221372285725</v>
      </c>
      <c r="D1055" s="54">
        <v>88.072221372285725</v>
      </c>
      <c r="E1055"/>
      <c r="F1055"/>
      <c r="G1055" t="e">
        <v>#N/A</v>
      </c>
      <c r="H1055" s="54">
        <v>921</v>
      </c>
      <c r="I1055" s="54">
        <v>135</v>
      </c>
      <c r="J1055" s="54">
        <v>1055</v>
      </c>
      <c r="K1055" s="54">
        <v>1054</v>
      </c>
      <c r="L1055" s="54" t="e">
        <v>#N/A</v>
      </c>
      <c r="M1055" s="54" t="s">
        <v>156</v>
      </c>
      <c r="N1055" s="54" t="s">
        <v>156</v>
      </c>
      <c r="O1055" s="54" t="s">
        <v>156</v>
      </c>
    </row>
    <row r="1056" spans="1:15" x14ac:dyDescent="0.35">
      <c r="A1056" s="59" t="s">
        <v>186</v>
      </c>
      <c r="B1056" s="60">
        <v>45515</v>
      </c>
      <c r="C1056" s="54">
        <v>3.8188954926357894</v>
      </c>
      <c r="D1056" s="54">
        <v>3.8188954926357894</v>
      </c>
      <c r="E1056"/>
      <c r="F1056"/>
      <c r="G1056" t="e">
        <v>#N/A</v>
      </c>
      <c r="H1056" s="54">
        <v>921</v>
      </c>
      <c r="I1056" s="54">
        <v>136</v>
      </c>
      <c r="J1056" s="54">
        <v>1056</v>
      </c>
      <c r="K1056" s="54">
        <v>1055</v>
      </c>
      <c r="L1056" s="54" t="e">
        <v>#N/A</v>
      </c>
      <c r="M1056" s="54" t="s">
        <v>156</v>
      </c>
      <c r="N1056" s="54" t="s">
        <v>156</v>
      </c>
      <c r="O1056" s="54" t="s">
        <v>156</v>
      </c>
    </row>
    <row r="1057" spans="1:15" x14ac:dyDescent="0.35">
      <c r="A1057" s="59" t="s">
        <v>186</v>
      </c>
      <c r="B1057" s="60">
        <v>45522</v>
      </c>
      <c r="C1057" s="54">
        <v>206.80923471806256</v>
      </c>
      <c r="D1057" s="54">
        <v>206.80923471806256</v>
      </c>
      <c r="E1057"/>
      <c r="F1057"/>
      <c r="G1057" t="e">
        <v>#N/A</v>
      </c>
      <c r="H1057" s="54">
        <v>921</v>
      </c>
      <c r="I1057" s="54">
        <v>137</v>
      </c>
      <c r="J1057" s="54">
        <v>1057</v>
      </c>
      <c r="K1057" s="54">
        <v>1056</v>
      </c>
      <c r="L1057" s="54" t="e">
        <v>#N/A</v>
      </c>
      <c r="M1057" s="54" t="s">
        <v>156</v>
      </c>
      <c r="N1057" s="54" t="s">
        <v>156</v>
      </c>
      <c r="O1057" s="54" t="s">
        <v>156</v>
      </c>
    </row>
    <row r="1058" spans="1:15" x14ac:dyDescent="0.35">
      <c r="A1058" s="59" t="s">
        <v>186</v>
      </c>
      <c r="B1058" s="60">
        <v>45529</v>
      </c>
      <c r="C1058" s="54">
        <v>131.55955667734253</v>
      </c>
      <c r="D1058" s="54">
        <v>131.55955667734253</v>
      </c>
      <c r="E1058"/>
      <c r="F1058"/>
      <c r="G1058" t="e">
        <v>#N/A</v>
      </c>
      <c r="H1058" s="54">
        <v>921</v>
      </c>
      <c r="I1058" s="54">
        <v>138</v>
      </c>
      <c r="J1058" s="54">
        <v>1058</v>
      </c>
      <c r="K1058" s="54">
        <v>1057</v>
      </c>
      <c r="L1058" s="54" t="e">
        <v>#N/A</v>
      </c>
      <c r="M1058" s="54" t="s">
        <v>156</v>
      </c>
      <c r="N1058" s="54" t="s">
        <v>156</v>
      </c>
      <c r="O1058" s="54" t="s">
        <v>156</v>
      </c>
    </row>
    <row r="1059" spans="1:15" x14ac:dyDescent="0.35">
      <c r="A1059" s="59" t="s">
        <v>186</v>
      </c>
      <c r="B1059" s="60">
        <v>45536</v>
      </c>
      <c r="C1059" s="54">
        <v>107.3854059338625</v>
      </c>
      <c r="D1059" s="54">
        <v>107.3854059338625</v>
      </c>
      <c r="E1059"/>
      <c r="F1059"/>
      <c r="G1059" t="e">
        <v>#N/A</v>
      </c>
      <c r="H1059" s="54">
        <v>921</v>
      </c>
      <c r="I1059" s="54">
        <v>139</v>
      </c>
      <c r="J1059" s="54">
        <v>1059</v>
      </c>
      <c r="K1059" s="54">
        <v>1058</v>
      </c>
      <c r="L1059" s="54" t="e">
        <v>#N/A</v>
      </c>
      <c r="M1059" s="54" t="s">
        <v>156</v>
      </c>
      <c r="N1059" s="54" t="s">
        <v>156</v>
      </c>
      <c r="O1059" s="54" t="s">
        <v>156</v>
      </c>
    </row>
    <row r="1060" spans="1:15" x14ac:dyDescent="0.35">
      <c r="A1060" s="59" t="s">
        <v>186</v>
      </c>
      <c r="B1060" s="60">
        <v>45543</v>
      </c>
      <c r="C1060" s="54">
        <v>115.9958065444079</v>
      </c>
      <c r="D1060" s="54">
        <v>115.9958065444079</v>
      </c>
      <c r="E1060"/>
      <c r="F1060"/>
      <c r="G1060" t="e">
        <v>#N/A</v>
      </c>
      <c r="H1060" s="54">
        <v>921</v>
      </c>
      <c r="I1060" s="54">
        <v>140</v>
      </c>
      <c r="J1060" s="54">
        <v>1060</v>
      </c>
      <c r="K1060" s="54">
        <v>1059</v>
      </c>
      <c r="L1060" s="54" t="e">
        <v>#N/A</v>
      </c>
      <c r="M1060" s="54" t="s">
        <v>156</v>
      </c>
      <c r="N1060" s="54" t="s">
        <v>156</v>
      </c>
      <c r="O1060" s="54" t="s">
        <v>156</v>
      </c>
    </row>
    <row r="1061" spans="1:15" x14ac:dyDescent="0.35">
      <c r="A1061" s="59" t="s">
        <v>186</v>
      </c>
      <c r="B1061" s="60">
        <v>45550</v>
      </c>
      <c r="C1061" s="54">
        <v>191.16739519060189</v>
      </c>
      <c r="D1061" s="54">
        <v>191.16739519060189</v>
      </c>
      <c r="E1061"/>
      <c r="F1061"/>
      <c r="G1061" t="e">
        <v>#N/A</v>
      </c>
      <c r="H1061" s="54">
        <v>921</v>
      </c>
      <c r="I1061" s="54">
        <v>141</v>
      </c>
      <c r="J1061" s="54">
        <v>1061</v>
      </c>
      <c r="K1061" s="54">
        <v>1060</v>
      </c>
      <c r="L1061" s="54" t="e">
        <v>#N/A</v>
      </c>
      <c r="M1061" s="54" t="s">
        <v>156</v>
      </c>
      <c r="N1061" s="54" t="s">
        <v>156</v>
      </c>
      <c r="O1061" s="54" t="s">
        <v>156</v>
      </c>
    </row>
    <row r="1062" spans="1:15" x14ac:dyDescent="0.35">
      <c r="A1062" s="59" t="s">
        <v>186</v>
      </c>
      <c r="B1062" s="60">
        <v>45557</v>
      </c>
      <c r="C1062" s="54">
        <v>123.7227230241885</v>
      </c>
      <c r="D1062" s="54">
        <v>123.7227230241885</v>
      </c>
      <c r="E1062"/>
      <c r="F1062"/>
      <c r="G1062" t="e">
        <v>#N/A</v>
      </c>
      <c r="H1062" s="54">
        <v>921</v>
      </c>
      <c r="I1062" s="54">
        <v>142</v>
      </c>
      <c r="J1062" s="54">
        <v>1062</v>
      </c>
      <c r="K1062" s="54">
        <v>1061</v>
      </c>
      <c r="L1062" s="54" t="e">
        <v>#N/A</v>
      </c>
      <c r="M1062" s="54" t="s">
        <v>156</v>
      </c>
      <c r="N1062" s="54" t="s">
        <v>156</v>
      </c>
      <c r="O1062" s="54" t="s">
        <v>156</v>
      </c>
    </row>
    <row r="1063" spans="1:15" x14ac:dyDescent="0.35">
      <c r="A1063" s="59" t="s">
        <v>186</v>
      </c>
      <c r="B1063" s="60">
        <v>45564</v>
      </c>
      <c r="C1063" s="54">
        <v>141.65248810546652</v>
      </c>
      <c r="D1063" s="54">
        <v>141.65248810546652</v>
      </c>
      <c r="E1063"/>
      <c r="F1063"/>
      <c r="G1063" t="e">
        <v>#N/A</v>
      </c>
      <c r="H1063" s="54">
        <v>921</v>
      </c>
      <c r="I1063" s="54">
        <v>143</v>
      </c>
      <c r="J1063" s="54">
        <v>1063</v>
      </c>
      <c r="K1063" s="54">
        <v>1062</v>
      </c>
      <c r="L1063" s="54" t="e">
        <v>#N/A</v>
      </c>
      <c r="M1063" s="54" t="s">
        <v>156</v>
      </c>
      <c r="N1063" s="54" t="s">
        <v>156</v>
      </c>
      <c r="O1063" s="54" t="s">
        <v>156</v>
      </c>
    </row>
    <row r="1064" spans="1:15" x14ac:dyDescent="0.35">
      <c r="A1064" s="59" t="s">
        <v>186</v>
      </c>
      <c r="B1064" s="60">
        <v>45571</v>
      </c>
      <c r="C1064" s="54">
        <v>213.62724306997944</v>
      </c>
      <c r="D1064" s="54">
        <v>213.62724306997944</v>
      </c>
      <c r="E1064"/>
      <c r="F1064"/>
      <c r="G1064" t="e">
        <v>#N/A</v>
      </c>
      <c r="H1064" s="54">
        <v>921</v>
      </c>
      <c r="I1064" s="54">
        <v>144</v>
      </c>
      <c r="J1064" s="54">
        <v>1064</v>
      </c>
      <c r="K1064" s="54">
        <v>1063</v>
      </c>
      <c r="L1064" s="54" t="e">
        <v>#N/A</v>
      </c>
      <c r="M1064" s="54" t="s">
        <v>156</v>
      </c>
      <c r="N1064" s="54" t="s">
        <v>156</v>
      </c>
      <c r="O1064" s="54" t="s">
        <v>156</v>
      </c>
    </row>
    <row r="1065" spans="1:15" x14ac:dyDescent="0.35">
      <c r="A1065" s="59" t="s">
        <v>186</v>
      </c>
      <c r="B1065" s="60">
        <v>45578</v>
      </c>
      <c r="C1065" s="54">
        <v>94.739592533578659</v>
      </c>
      <c r="D1065" s="54">
        <v>94.739592533578659</v>
      </c>
      <c r="E1065"/>
      <c r="F1065"/>
      <c r="G1065" t="e">
        <v>#N/A</v>
      </c>
      <c r="H1065" s="54">
        <v>921</v>
      </c>
      <c r="I1065" s="54">
        <v>145</v>
      </c>
      <c r="J1065" s="54">
        <v>1065</v>
      </c>
      <c r="K1065" s="54">
        <v>1064</v>
      </c>
      <c r="L1065" s="54" t="e">
        <v>#N/A</v>
      </c>
      <c r="M1065" s="54" t="s">
        <v>156</v>
      </c>
      <c r="N1065" s="54" t="s">
        <v>156</v>
      </c>
      <c r="O1065" s="54" t="s">
        <v>156</v>
      </c>
    </row>
    <row r="1066" spans="1:15" x14ac:dyDescent="0.35">
      <c r="A1066" s="59" t="s">
        <v>186</v>
      </c>
      <c r="B1066" s="60">
        <v>45585</v>
      </c>
      <c r="C1066" s="54">
        <v>58.958838410013016</v>
      </c>
      <c r="D1066" s="54">
        <v>58.958838410013016</v>
      </c>
      <c r="E1066"/>
      <c r="F1066"/>
      <c r="G1066" t="e">
        <v>#N/A</v>
      </c>
      <c r="H1066" s="54">
        <v>921</v>
      </c>
      <c r="I1066" s="54">
        <v>146</v>
      </c>
      <c r="J1066" s="54">
        <v>1066</v>
      </c>
      <c r="K1066" s="54">
        <v>1065</v>
      </c>
      <c r="L1066" s="54" t="e">
        <v>#N/A</v>
      </c>
      <c r="M1066" s="54" t="s">
        <v>156</v>
      </c>
      <c r="N1066" s="54" t="s">
        <v>156</v>
      </c>
      <c r="O1066" s="54" t="s">
        <v>156</v>
      </c>
    </row>
    <row r="1067" spans="1:15" x14ac:dyDescent="0.35">
      <c r="A1067" s="59" t="s">
        <v>186</v>
      </c>
      <c r="B1067" s="60">
        <v>45592</v>
      </c>
      <c r="C1067" s="54">
        <v>74.817497506702097</v>
      </c>
      <c r="D1067" s="54">
        <v>74.817497506702097</v>
      </c>
      <c r="E1067"/>
      <c r="F1067"/>
      <c r="G1067" t="e">
        <v>#N/A</v>
      </c>
      <c r="H1067" s="54">
        <v>921</v>
      </c>
      <c r="I1067" s="54">
        <v>147</v>
      </c>
      <c r="J1067" s="54">
        <v>1067</v>
      </c>
      <c r="K1067" s="54">
        <v>1066</v>
      </c>
      <c r="L1067" s="54" t="e">
        <v>#N/A</v>
      </c>
      <c r="M1067" s="54" t="s">
        <v>156</v>
      </c>
      <c r="N1067" s="54" t="s">
        <v>156</v>
      </c>
      <c r="O1067" s="54" t="s">
        <v>156</v>
      </c>
    </row>
    <row r="1068" spans="1:15" x14ac:dyDescent="0.35">
      <c r="A1068" s="59" t="s">
        <v>186</v>
      </c>
      <c r="B1068" s="60">
        <v>45599</v>
      </c>
      <c r="C1068" s="54">
        <v>211.51315189827523</v>
      </c>
      <c r="D1068" s="54">
        <v>211.51315189827523</v>
      </c>
      <c r="E1068"/>
      <c r="F1068"/>
      <c r="G1068" t="e">
        <v>#N/A</v>
      </c>
      <c r="H1068" s="54">
        <v>921</v>
      </c>
      <c r="I1068" s="54">
        <v>148</v>
      </c>
      <c r="J1068" s="54">
        <v>1068</v>
      </c>
      <c r="K1068" s="54">
        <v>1067</v>
      </c>
      <c r="L1068" s="54" t="e">
        <v>#N/A</v>
      </c>
      <c r="M1068" s="54" t="s">
        <v>156</v>
      </c>
      <c r="N1068" s="54" t="s">
        <v>156</v>
      </c>
      <c r="O1068" s="54" t="s">
        <v>156</v>
      </c>
    </row>
    <row r="1069" spans="1:15" x14ac:dyDescent="0.35">
      <c r="A1069" s="59" t="s">
        <v>186</v>
      </c>
      <c r="B1069" s="60">
        <v>45606</v>
      </c>
      <c r="C1069" s="54">
        <v>123.21417774941187</v>
      </c>
      <c r="D1069" s="54">
        <v>123.21417774941187</v>
      </c>
      <c r="E1069"/>
      <c r="F1069"/>
      <c r="G1069" t="e">
        <v>#N/A</v>
      </c>
      <c r="H1069" s="54">
        <v>921</v>
      </c>
      <c r="I1069" s="54">
        <v>149</v>
      </c>
      <c r="J1069" s="54">
        <v>1069</v>
      </c>
      <c r="K1069" s="54">
        <v>1068</v>
      </c>
      <c r="L1069" s="54" t="e">
        <v>#N/A</v>
      </c>
      <c r="M1069" s="54" t="s">
        <v>156</v>
      </c>
      <c r="N1069" s="54" t="s">
        <v>156</v>
      </c>
      <c r="O1069" s="54" t="s">
        <v>156</v>
      </c>
    </row>
    <row r="1070" spans="1:15" x14ac:dyDescent="0.35">
      <c r="A1070" s="59" t="s">
        <v>186</v>
      </c>
      <c r="B1070" s="60">
        <v>45613</v>
      </c>
      <c r="C1070" s="54">
        <v>102.12165830587477</v>
      </c>
      <c r="D1070" s="54">
        <v>102.12165830587477</v>
      </c>
      <c r="E1070"/>
      <c r="F1070"/>
      <c r="G1070" t="e">
        <v>#N/A</v>
      </c>
      <c r="H1070" s="54">
        <v>921</v>
      </c>
      <c r="I1070" s="54">
        <v>150</v>
      </c>
      <c r="J1070" s="54">
        <v>1070</v>
      </c>
      <c r="K1070" s="54">
        <v>1069</v>
      </c>
      <c r="L1070" s="54" t="e">
        <v>#N/A</v>
      </c>
      <c r="M1070" s="54" t="s">
        <v>156</v>
      </c>
      <c r="N1070" s="54" t="s">
        <v>156</v>
      </c>
      <c r="O1070" s="54" t="s">
        <v>156</v>
      </c>
    </row>
    <row r="1071" spans="1:15" x14ac:dyDescent="0.35">
      <c r="A1071" s="59" t="s">
        <v>186</v>
      </c>
      <c r="B1071" s="60">
        <v>45620</v>
      </c>
      <c r="C1071" s="54">
        <v>175.81964095231592</v>
      </c>
      <c r="D1071" s="54">
        <v>175.81964095231592</v>
      </c>
      <c r="E1071"/>
      <c r="F1071"/>
      <c r="G1071" t="e">
        <v>#N/A</v>
      </c>
      <c r="H1071" s="54">
        <v>921</v>
      </c>
      <c r="I1071" s="54">
        <v>151</v>
      </c>
      <c r="J1071" s="54">
        <v>1071</v>
      </c>
      <c r="K1071" s="54">
        <v>1070</v>
      </c>
      <c r="L1071" s="54" t="e">
        <v>#N/A</v>
      </c>
      <c r="M1071" s="54" t="s">
        <v>156</v>
      </c>
      <c r="N1071" s="54" t="s">
        <v>156</v>
      </c>
      <c r="O1071" s="54" t="s">
        <v>156</v>
      </c>
    </row>
    <row r="1072" spans="1:15" x14ac:dyDescent="0.35">
      <c r="A1072" s="59" t="s">
        <v>186</v>
      </c>
      <c r="B1072" s="60">
        <v>45627</v>
      </c>
      <c r="C1072" s="54">
        <v>176.61054787840527</v>
      </c>
      <c r="D1072" s="54">
        <v>176.61054787840527</v>
      </c>
      <c r="E1072"/>
      <c r="F1072"/>
      <c r="G1072" t="e">
        <v>#N/A</v>
      </c>
      <c r="H1072" s="54">
        <v>921</v>
      </c>
      <c r="I1072" s="54">
        <v>152</v>
      </c>
      <c r="J1072" s="54">
        <v>1072</v>
      </c>
      <c r="K1072" s="54">
        <v>1071</v>
      </c>
      <c r="L1072" s="54" t="e">
        <v>#N/A</v>
      </c>
      <c r="M1072" s="54" t="s">
        <v>156</v>
      </c>
      <c r="N1072" s="54" t="s">
        <v>156</v>
      </c>
      <c r="O1072" s="54" t="s">
        <v>156</v>
      </c>
    </row>
    <row r="1073" spans="1:15" x14ac:dyDescent="0.35">
      <c r="A1073" s="59" t="s">
        <v>186</v>
      </c>
      <c r="B1073" s="60">
        <v>45634</v>
      </c>
      <c r="C1073" s="54">
        <v>88.455743905649001</v>
      </c>
      <c r="D1073" s="54">
        <v>88.455743905649001</v>
      </c>
      <c r="E1073"/>
      <c r="F1073"/>
      <c r="G1073" t="e">
        <v>#N/A</v>
      </c>
      <c r="H1073" s="54">
        <v>921</v>
      </c>
      <c r="I1073" s="54">
        <v>153</v>
      </c>
      <c r="J1073" s="54">
        <v>1073</v>
      </c>
      <c r="K1073" s="54">
        <v>1072</v>
      </c>
      <c r="L1073" s="54" t="e">
        <v>#N/A</v>
      </c>
      <c r="M1073" s="54" t="s">
        <v>156</v>
      </c>
      <c r="N1073" s="54" t="s">
        <v>156</v>
      </c>
      <c r="O1073" s="54" t="s">
        <v>156</v>
      </c>
    </row>
    <row r="1074" spans="1:15" x14ac:dyDescent="0.35">
      <c r="A1074" s="59" t="s">
        <v>186</v>
      </c>
      <c r="B1074" s="60">
        <v>45641</v>
      </c>
      <c r="C1074" s="54">
        <v>57.89534184217711</v>
      </c>
      <c r="D1074" s="54">
        <v>57.89534184217711</v>
      </c>
      <c r="E1074"/>
      <c r="F1074"/>
      <c r="G1074" t="e">
        <v>#N/A</v>
      </c>
      <c r="H1074" s="54">
        <v>921</v>
      </c>
      <c r="I1074" s="54">
        <v>154</v>
      </c>
      <c r="J1074" s="54">
        <v>1074</v>
      </c>
      <c r="K1074" s="54">
        <v>1073</v>
      </c>
      <c r="L1074" s="54" t="e">
        <v>#N/A</v>
      </c>
      <c r="M1074" s="54" t="s">
        <v>156</v>
      </c>
      <c r="N1074" s="54" t="s">
        <v>156</v>
      </c>
      <c r="O1074" s="54" t="s">
        <v>156</v>
      </c>
    </row>
    <row r="1075" spans="1:15" x14ac:dyDescent="0.35">
      <c r="A1075" s="59" t="s">
        <v>186</v>
      </c>
      <c r="B1075" s="60">
        <v>45648</v>
      </c>
      <c r="C1075" s="54">
        <v>22.285342312150235</v>
      </c>
      <c r="D1075" s="54">
        <v>22.285342312150235</v>
      </c>
      <c r="E1075"/>
      <c r="F1075"/>
      <c r="G1075" t="e">
        <v>#N/A</v>
      </c>
      <c r="H1075" s="54">
        <v>921</v>
      </c>
      <c r="I1075" s="54">
        <v>155</v>
      </c>
      <c r="J1075" s="54">
        <v>1075</v>
      </c>
      <c r="K1075" s="54">
        <v>1074</v>
      </c>
      <c r="L1075" s="54" t="e">
        <v>#N/A</v>
      </c>
      <c r="M1075" s="54" t="s">
        <v>156</v>
      </c>
      <c r="N1075" s="54" t="s">
        <v>156</v>
      </c>
      <c r="O1075" s="54" t="s">
        <v>156</v>
      </c>
    </row>
    <row r="1076" spans="1:15" x14ac:dyDescent="0.35">
      <c r="A1076" s="59" t="s">
        <v>186</v>
      </c>
      <c r="B1076" s="60">
        <v>45655</v>
      </c>
      <c r="C1076" s="54">
        <v>9.0932304560080297</v>
      </c>
      <c r="D1076" s="54">
        <v>9.0932304560080297</v>
      </c>
      <c r="E1076"/>
      <c r="F1076"/>
      <c r="G1076" t="e">
        <v>#N/A</v>
      </c>
      <c r="H1076" s="54">
        <v>921</v>
      </c>
      <c r="I1076" s="54">
        <v>156</v>
      </c>
      <c r="J1076" s="54">
        <v>1076</v>
      </c>
      <c r="K1076" s="54">
        <v>1075</v>
      </c>
      <c r="L1076" s="54" t="e">
        <v>#N/A</v>
      </c>
      <c r="M1076" s="54" t="s">
        <v>156</v>
      </c>
      <c r="N1076" s="54" t="s">
        <v>156</v>
      </c>
      <c r="O1076" s="54" t="s">
        <v>156</v>
      </c>
    </row>
    <row r="1077" spans="1:15" x14ac:dyDescent="0.35">
      <c r="A1077" s="59" t="s">
        <v>186</v>
      </c>
      <c r="B1077" s="60">
        <v>45662</v>
      </c>
      <c r="C1077" s="54">
        <v>100.56998699670685</v>
      </c>
      <c r="D1077" s="54"/>
      <c r="E1077">
        <v>100.56998699670685</v>
      </c>
      <c r="F1077">
        <v>107.70431698398198</v>
      </c>
      <c r="G1077">
        <v>135.75189776056123</v>
      </c>
      <c r="H1077" s="54">
        <v>921</v>
      </c>
      <c r="I1077" s="54" t="s">
        <v>156</v>
      </c>
      <c r="J1077" s="54">
        <v>1076</v>
      </c>
      <c r="K1077" s="54">
        <v>1076</v>
      </c>
      <c r="L1077" s="54">
        <v>104.11024896495712</v>
      </c>
      <c r="M1077" s="54">
        <v>3.5402619682502774</v>
      </c>
      <c r="N1077" s="54">
        <v>7.1343299872751373</v>
      </c>
      <c r="O1077" s="54">
        <v>35.18191076385439</v>
      </c>
    </row>
    <row r="1078" spans="1:15" x14ac:dyDescent="0.35">
      <c r="A1078" s="59" t="s">
        <v>186</v>
      </c>
      <c r="B1078" s="60">
        <v>45669</v>
      </c>
      <c r="C1078" s="54">
        <v>63.271371398406423</v>
      </c>
      <c r="D1078" s="54"/>
      <c r="E1078">
        <v>63.271371398406423</v>
      </c>
      <c r="F1078">
        <v>66.041721607044025</v>
      </c>
      <c r="G1078">
        <v>124.69531864463683</v>
      </c>
      <c r="H1078" s="54">
        <v>921</v>
      </c>
      <c r="I1078" s="54" t="s">
        <v>156</v>
      </c>
      <c r="J1078" s="54">
        <v>1076</v>
      </c>
      <c r="K1078" s="54">
        <v>1077</v>
      </c>
      <c r="L1078" s="54">
        <v>15.351150268197316</v>
      </c>
      <c r="M1078" s="54">
        <v>47.920221130209107</v>
      </c>
      <c r="N1078" s="54">
        <v>2.770350208637602</v>
      </c>
      <c r="O1078" s="54">
        <v>61.423947246230405</v>
      </c>
    </row>
    <row r="1079" spans="1:15" x14ac:dyDescent="0.35">
      <c r="A1079" s="59" t="s">
        <v>186</v>
      </c>
      <c r="B1079" s="60">
        <v>45676</v>
      </c>
      <c r="C1079" s="54">
        <v>228.77510384410752</v>
      </c>
      <c r="D1079" s="54"/>
      <c r="E1079">
        <v>228.77510384410752</v>
      </c>
      <c r="F1079">
        <v>98.979849789032073</v>
      </c>
      <c r="G1079">
        <v>86.31174398459541</v>
      </c>
      <c r="H1079" s="54">
        <v>921</v>
      </c>
      <c r="I1079" s="54" t="s">
        <v>156</v>
      </c>
      <c r="J1079" s="54">
        <v>1076</v>
      </c>
      <c r="K1079" s="54">
        <v>1078</v>
      </c>
      <c r="L1079" s="54">
        <v>32.336698528161584</v>
      </c>
      <c r="M1079" s="54">
        <v>196.43840531594594</v>
      </c>
      <c r="N1079" s="54">
        <v>129.79525405507545</v>
      </c>
      <c r="O1079" s="54">
        <v>142.46335985951211</v>
      </c>
    </row>
    <row r="1080" spans="1:15" x14ac:dyDescent="0.35">
      <c r="A1080" s="59" t="s">
        <v>186</v>
      </c>
      <c r="B1080" s="60">
        <v>45683</v>
      </c>
      <c r="C1080" s="54">
        <v>121.19221914747791</v>
      </c>
      <c r="D1080" s="54"/>
      <c r="E1080">
        <v>121.19221914747791</v>
      </c>
      <c r="F1080">
        <v>206.80347756912036</v>
      </c>
      <c r="G1080">
        <v>44.432414628996099</v>
      </c>
      <c r="H1080" s="54">
        <v>921</v>
      </c>
      <c r="I1080" s="54" t="s">
        <v>156</v>
      </c>
      <c r="J1080" s="54">
        <v>1076</v>
      </c>
      <c r="K1080" s="54">
        <v>1079</v>
      </c>
      <c r="L1080" s="54">
        <v>180.84351734704947</v>
      </c>
      <c r="M1080" s="54">
        <v>59.651298199571556</v>
      </c>
      <c r="N1080" s="54">
        <v>85.611258421642447</v>
      </c>
      <c r="O1080" s="54">
        <v>76.759804518481815</v>
      </c>
    </row>
    <row r="1081" spans="1:15" x14ac:dyDescent="0.35">
      <c r="A1081" s="59" t="s">
        <v>186</v>
      </c>
      <c r="B1081" s="60">
        <v>45690</v>
      </c>
      <c r="C1081" s="54">
        <v>1.5743470324030682</v>
      </c>
      <c r="D1081" s="54"/>
      <c r="E1081">
        <v>1.5743470324030682</v>
      </c>
      <c r="F1081">
        <v>122.16377410822599</v>
      </c>
      <c r="G1081">
        <v>47.46097540176055</v>
      </c>
      <c r="H1081" s="54">
        <v>921</v>
      </c>
      <c r="I1081" s="54" t="s">
        <v>156</v>
      </c>
      <c r="J1081" s="54">
        <v>1076</v>
      </c>
      <c r="K1081" s="54">
        <v>1080</v>
      </c>
      <c r="L1081" s="54">
        <v>77.456687285594214</v>
      </c>
      <c r="M1081" s="54">
        <v>75.882340253191146</v>
      </c>
      <c r="N1081" s="54">
        <v>120.58942707582293</v>
      </c>
      <c r="O1081" s="54">
        <v>45.886628369357481</v>
      </c>
    </row>
    <row r="1082" spans="1:15" x14ac:dyDescent="0.35">
      <c r="A1082" s="59" t="s">
        <v>186</v>
      </c>
      <c r="B1082" s="60">
        <v>45697</v>
      </c>
      <c r="C1082" s="54">
        <v>203.66093926450941</v>
      </c>
      <c r="D1082" s="54"/>
      <c r="E1082">
        <v>203.66093926450941</v>
      </c>
      <c r="F1082">
        <v>112.86450609326664</v>
      </c>
      <c r="G1082">
        <v>48.804982790817881</v>
      </c>
      <c r="H1082" s="54">
        <v>921</v>
      </c>
      <c r="I1082" s="54" t="s">
        <v>156</v>
      </c>
      <c r="J1082" s="54">
        <v>1076</v>
      </c>
      <c r="K1082" s="54">
        <v>1081</v>
      </c>
      <c r="L1082" s="54">
        <v>61.662092380378667</v>
      </c>
      <c r="M1082" s="54">
        <v>141.99884688413073</v>
      </c>
      <c r="N1082" s="54">
        <v>90.796433171242768</v>
      </c>
      <c r="O1082" s="54">
        <v>154.85595647369152</v>
      </c>
    </row>
    <row r="1083" spans="1:15" x14ac:dyDescent="0.35">
      <c r="A1083" s="59" t="s">
        <v>186</v>
      </c>
      <c r="B1083" s="60">
        <v>45704</v>
      </c>
      <c r="C1083" s="54">
        <v>128.68419077192397</v>
      </c>
      <c r="D1083" s="54"/>
      <c r="E1083">
        <v>128.68419077192397</v>
      </c>
      <c r="F1083">
        <v>62.517080700515685</v>
      </c>
      <c r="G1083">
        <v>100.4274231738072</v>
      </c>
      <c r="H1083" s="54">
        <v>921</v>
      </c>
      <c r="I1083" s="54" t="s">
        <v>156</v>
      </c>
      <c r="J1083" s="54">
        <v>1076</v>
      </c>
      <c r="K1083" s="54">
        <v>1082</v>
      </c>
      <c r="L1083" s="54">
        <v>75.465328836250862</v>
      </c>
      <c r="M1083" s="54">
        <v>53.218861935673104</v>
      </c>
      <c r="N1083" s="54">
        <v>66.167110071408274</v>
      </c>
      <c r="O1083" s="54">
        <v>28.256767598116767</v>
      </c>
    </row>
    <row r="1084" spans="1:15" x14ac:dyDescent="0.35">
      <c r="A1084" s="59" t="s">
        <v>186</v>
      </c>
      <c r="B1084" s="60">
        <v>45711</v>
      </c>
      <c r="C1084" s="54">
        <v>161.73518487670859</v>
      </c>
      <c r="D1084" s="54"/>
      <c r="E1084">
        <v>161.73518487670859</v>
      </c>
      <c r="F1084">
        <v>126.43224450227142</v>
      </c>
      <c r="G1084">
        <v>128.45217034667468</v>
      </c>
      <c r="H1084" s="54">
        <v>921</v>
      </c>
      <c r="I1084" s="54" t="s">
        <v>156</v>
      </c>
      <c r="J1084" s="54">
        <v>1076</v>
      </c>
      <c r="K1084" s="54">
        <v>1083</v>
      </c>
      <c r="L1084" s="54">
        <v>112.58085210067034</v>
      </c>
      <c r="M1084" s="54">
        <v>49.154332776038245</v>
      </c>
      <c r="N1084" s="54">
        <v>35.302940374437171</v>
      </c>
      <c r="O1084" s="54">
        <v>33.28301453003391</v>
      </c>
    </row>
    <row r="1085" spans="1:15" x14ac:dyDescent="0.35">
      <c r="A1085" s="59" t="s">
        <v>186</v>
      </c>
      <c r="B1085" s="60">
        <v>45718</v>
      </c>
      <c r="C1085" s="54">
        <v>160.82615554265871</v>
      </c>
      <c r="D1085" s="54"/>
      <c r="E1085">
        <v>160.82615554265871</v>
      </c>
      <c r="F1085">
        <v>80.686848577983667</v>
      </c>
      <c r="G1085">
        <v>103.70326035559874</v>
      </c>
      <c r="H1085" s="54">
        <v>921</v>
      </c>
      <c r="I1085" s="54" t="s">
        <v>156</v>
      </c>
      <c r="J1085" s="54">
        <v>1076</v>
      </c>
      <c r="K1085" s="54">
        <v>1084</v>
      </c>
      <c r="L1085" s="54">
        <v>45.719819516109766</v>
      </c>
      <c r="M1085" s="54">
        <v>115.10633602654895</v>
      </c>
      <c r="N1085" s="54">
        <v>80.139306964675043</v>
      </c>
      <c r="O1085" s="54">
        <v>57.122895187059967</v>
      </c>
    </row>
    <row r="1086" spans="1:15" x14ac:dyDescent="0.35">
      <c r="A1086" s="59" t="s">
        <v>186</v>
      </c>
      <c r="B1086" s="60">
        <v>45725</v>
      </c>
      <c r="C1086" s="54">
        <v>138.47636898049785</v>
      </c>
      <c r="D1086" s="54"/>
      <c r="E1086">
        <v>138.47636898049785</v>
      </c>
      <c r="F1086">
        <v>119.61657985134617</v>
      </c>
      <c r="G1086">
        <v>138.80065232212448</v>
      </c>
      <c r="H1086" s="54">
        <v>921</v>
      </c>
      <c r="I1086" s="54" t="s">
        <v>156</v>
      </c>
      <c r="J1086" s="54">
        <v>1076</v>
      </c>
      <c r="K1086" s="54">
        <v>1085</v>
      </c>
      <c r="L1086" s="54">
        <v>121.54802392616413</v>
      </c>
      <c r="M1086" s="54">
        <v>16.928345054333718</v>
      </c>
      <c r="N1086" s="54">
        <v>18.859789129151679</v>
      </c>
      <c r="O1086" s="54">
        <v>0.32428334162662509</v>
      </c>
    </row>
    <row r="1087" spans="1:15" x14ac:dyDescent="0.35">
      <c r="A1087" s="59" t="s">
        <v>186</v>
      </c>
      <c r="B1087" s="60">
        <v>45732</v>
      </c>
      <c r="C1087" s="54">
        <v>152.27207993759663</v>
      </c>
      <c r="D1087" s="54"/>
      <c r="E1087">
        <v>152.27207993759663</v>
      </c>
      <c r="F1087">
        <v>59.224409182287602</v>
      </c>
      <c r="G1087">
        <v>113.77792405407858</v>
      </c>
      <c r="H1087" s="54">
        <v>921</v>
      </c>
      <c r="I1087" s="54" t="s">
        <v>156</v>
      </c>
      <c r="J1087" s="54">
        <v>1076</v>
      </c>
      <c r="K1087" s="54">
        <v>1086</v>
      </c>
      <c r="L1087" s="54">
        <v>30.696971047990637</v>
      </c>
      <c r="M1087" s="54">
        <v>121.57510888960599</v>
      </c>
      <c r="N1087" s="54">
        <v>93.047670755309028</v>
      </c>
      <c r="O1087" s="54">
        <v>38.494155883518047</v>
      </c>
    </row>
    <row r="1088" spans="1:15" x14ac:dyDescent="0.35">
      <c r="A1088" s="59" t="s">
        <v>186</v>
      </c>
      <c r="B1088" s="60">
        <v>45739</v>
      </c>
      <c r="C1088" s="54">
        <v>137.33014786320715</v>
      </c>
      <c r="D1088" s="54"/>
      <c r="E1088">
        <v>137.33014786320715</v>
      </c>
      <c r="F1088">
        <v>145.57274273913396</v>
      </c>
      <c r="G1088">
        <v>123.91366548638626</v>
      </c>
      <c r="H1088" s="54">
        <v>921</v>
      </c>
      <c r="I1088" s="54" t="s">
        <v>156</v>
      </c>
      <c r="J1088" s="54">
        <v>1076</v>
      </c>
      <c r="K1088" s="54">
        <v>1087</v>
      </c>
      <c r="L1088" s="54">
        <v>162.02081242579231</v>
      </c>
      <c r="M1088" s="54">
        <v>24.69066456258517</v>
      </c>
      <c r="N1088" s="54">
        <v>8.2425948759268124</v>
      </c>
      <c r="O1088" s="54">
        <v>13.416482376820881</v>
      </c>
    </row>
    <row r="1089" spans="1:15" x14ac:dyDescent="0.35">
      <c r="A1089" s="59" t="s">
        <v>186</v>
      </c>
      <c r="B1089" s="60">
        <v>45746</v>
      </c>
      <c r="C1089" s="54">
        <v>56.309114857608265</v>
      </c>
      <c r="D1089" s="54"/>
      <c r="E1089">
        <v>56.309114857608265</v>
      </c>
      <c r="F1089">
        <v>81.540449675917387</v>
      </c>
      <c r="G1089">
        <v>163.72661761395017</v>
      </c>
      <c r="H1089" s="54">
        <v>921</v>
      </c>
      <c r="I1089" s="54" t="s">
        <v>156</v>
      </c>
      <c r="J1089" s="54">
        <v>1076</v>
      </c>
      <c r="K1089" s="54">
        <v>1088</v>
      </c>
      <c r="L1089" s="54">
        <v>46.857959785986097</v>
      </c>
      <c r="M1089" s="54">
        <v>9.4511550716221677</v>
      </c>
      <c r="N1089" s="54">
        <v>25.231334818309122</v>
      </c>
      <c r="O1089" s="54">
        <v>107.4175027563419</v>
      </c>
    </row>
    <row r="1090" spans="1:15" x14ac:dyDescent="0.35">
      <c r="A1090" s="59" t="s">
        <v>186</v>
      </c>
      <c r="B1090" s="60">
        <v>45753</v>
      </c>
      <c r="C1090" s="54">
        <v>147.43391627659702</v>
      </c>
      <c r="D1090" s="54"/>
      <c r="E1090">
        <v>147.43391627659702</v>
      </c>
      <c r="F1090">
        <v>134.57217272044355</v>
      </c>
      <c r="G1090">
        <v>147.43047504294731</v>
      </c>
      <c r="H1090" s="54">
        <v>921</v>
      </c>
      <c r="I1090" s="54" t="s">
        <v>156</v>
      </c>
      <c r="J1090" s="54">
        <v>1076</v>
      </c>
      <c r="K1090" s="54">
        <v>1089</v>
      </c>
      <c r="L1090" s="54">
        <v>188.76557588923657</v>
      </c>
      <c r="M1090" s="54">
        <v>41.331659612639555</v>
      </c>
      <c r="N1090" s="54">
        <v>12.861743556153471</v>
      </c>
      <c r="O1090" s="54">
        <v>3.4412336497098295E-3</v>
      </c>
    </row>
    <row r="1091" spans="1:15" x14ac:dyDescent="0.35">
      <c r="A1091" s="59" t="s">
        <v>186</v>
      </c>
      <c r="B1091" s="60">
        <v>45760</v>
      </c>
      <c r="C1091" s="54">
        <v>199.73229943405818</v>
      </c>
      <c r="D1091" s="54"/>
      <c r="E1091">
        <v>199.73229943405818</v>
      </c>
      <c r="F1091">
        <v>106.10128831790698</v>
      </c>
      <c r="G1091">
        <v>153.32744733436544</v>
      </c>
      <c r="H1091" s="54">
        <v>921</v>
      </c>
      <c r="I1091" s="54" t="s">
        <v>156</v>
      </c>
      <c r="J1091" s="54">
        <v>1076</v>
      </c>
      <c r="K1091" s="54">
        <v>1090</v>
      </c>
      <c r="L1091" s="54">
        <v>110.68281099263535</v>
      </c>
      <c r="M1091" s="54">
        <v>89.049488441422824</v>
      </c>
      <c r="N1091" s="54">
        <v>93.6310111161512</v>
      </c>
      <c r="O1091" s="54">
        <v>46.404852099692732</v>
      </c>
    </row>
    <row r="1092" spans="1:15" x14ac:dyDescent="0.35">
      <c r="A1092" s="59" t="s">
        <v>186</v>
      </c>
      <c r="B1092" s="60">
        <v>45767</v>
      </c>
      <c r="C1092" s="54">
        <v>121.91668154250699</v>
      </c>
      <c r="D1092" s="54"/>
      <c r="E1092">
        <v>121.91668154250699</v>
      </c>
      <c r="F1092">
        <v>118.39036195049225</v>
      </c>
      <c r="G1092">
        <v>147.22618808099008</v>
      </c>
      <c r="H1092" s="54">
        <v>921</v>
      </c>
      <c r="I1092" s="54" t="s">
        <v>156</v>
      </c>
      <c r="J1092" s="54">
        <v>1076</v>
      </c>
      <c r="K1092" s="54">
        <v>1091</v>
      </c>
      <c r="L1092" s="54">
        <v>70.113072396579781</v>
      </c>
      <c r="M1092" s="54">
        <v>51.803609145927211</v>
      </c>
      <c r="N1092" s="54">
        <v>3.5263195920147439</v>
      </c>
      <c r="O1092" s="54">
        <v>25.309506538483092</v>
      </c>
    </row>
    <row r="1093" spans="1:15" x14ac:dyDescent="0.35">
      <c r="A1093" s="59" t="s">
        <v>186</v>
      </c>
      <c r="B1093" s="60">
        <v>45774</v>
      </c>
      <c r="C1093" s="54">
        <v>184.93383714804719</v>
      </c>
      <c r="D1093" s="54"/>
      <c r="E1093">
        <v>184.93383714804719</v>
      </c>
      <c r="F1093">
        <v>130.76540555551935</v>
      </c>
      <c r="G1093">
        <v>121.09692790972747</v>
      </c>
      <c r="H1093" s="54">
        <v>921</v>
      </c>
      <c r="I1093" s="54" t="s">
        <v>156</v>
      </c>
      <c r="J1093" s="54">
        <v>1076</v>
      </c>
      <c r="K1093" s="54">
        <v>1092</v>
      </c>
      <c r="L1093" s="54">
        <v>191.47953027954159</v>
      </c>
      <c r="M1093" s="54">
        <v>6.5456931314944029</v>
      </c>
      <c r="N1093" s="54">
        <v>54.168431592527838</v>
      </c>
      <c r="O1093" s="54">
        <v>63.83690923831972</v>
      </c>
    </row>
    <row r="1094" spans="1:15" x14ac:dyDescent="0.35">
      <c r="A1094" s="59" t="s">
        <v>186</v>
      </c>
      <c r="B1094" s="60">
        <v>45781</v>
      </c>
      <c r="C1094" s="54">
        <v>167.52268897742539</v>
      </c>
      <c r="D1094" s="54"/>
      <c r="E1094">
        <v>167.52268897742539</v>
      </c>
      <c r="F1094">
        <v>132.24061789746287</v>
      </c>
      <c r="G1094">
        <v>123.33631473375227</v>
      </c>
      <c r="H1094" s="54">
        <v>921</v>
      </c>
      <c r="I1094" s="54" t="s">
        <v>156</v>
      </c>
      <c r="J1094" s="54">
        <v>1076</v>
      </c>
      <c r="K1094" s="54">
        <v>1093</v>
      </c>
      <c r="L1094" s="54">
        <v>39.396220610891532</v>
      </c>
      <c r="M1094" s="54">
        <v>128.12646836653386</v>
      </c>
      <c r="N1094" s="54">
        <v>35.28207107996252</v>
      </c>
      <c r="O1094" s="54">
        <v>44.186374243673114</v>
      </c>
    </row>
    <row r="1095" spans="1:15" x14ac:dyDescent="0.35">
      <c r="A1095" s="59" t="s">
        <v>186</v>
      </c>
      <c r="B1095" s="60">
        <v>45788</v>
      </c>
      <c r="C1095" s="54">
        <v>253.54069458268509</v>
      </c>
      <c r="D1095" s="54"/>
      <c r="E1095">
        <v>253.54069458268509</v>
      </c>
      <c r="F1095">
        <v>196.40941245185707</v>
      </c>
      <c r="G1095">
        <v>135.20136960786766</v>
      </c>
      <c r="H1095" s="54">
        <v>921</v>
      </c>
      <c r="I1095" s="54" t="s">
        <v>156</v>
      </c>
      <c r="J1095" s="54">
        <v>1076</v>
      </c>
      <c r="K1095" s="54">
        <v>1094</v>
      </c>
      <c r="L1095" s="54">
        <v>98.498339940065918</v>
      </c>
      <c r="M1095" s="54">
        <v>155.04235464261916</v>
      </c>
      <c r="N1095" s="54">
        <v>57.131282130828026</v>
      </c>
      <c r="O1095" s="54">
        <v>118.33932497481743</v>
      </c>
    </row>
    <row r="1096" spans="1:15" x14ac:dyDescent="0.35">
      <c r="A1096" s="59" t="s">
        <v>186</v>
      </c>
      <c r="B1096" s="60">
        <v>45795</v>
      </c>
      <c r="C1096" s="54">
        <v>124.92264520705429</v>
      </c>
      <c r="D1096" s="54"/>
      <c r="E1096">
        <v>124.92264520705429</v>
      </c>
      <c r="F1096">
        <v>159.25274114000334</v>
      </c>
      <c r="G1096">
        <v>131.34800302769261</v>
      </c>
      <c r="H1096" s="54">
        <v>921</v>
      </c>
      <c r="I1096" s="54" t="s">
        <v>156</v>
      </c>
      <c r="J1096" s="54">
        <v>1076</v>
      </c>
      <c r="K1096" s="54">
        <v>1095</v>
      </c>
      <c r="L1096" s="54">
        <v>144.50388838627285</v>
      </c>
      <c r="M1096" s="54">
        <v>19.581243179218561</v>
      </c>
      <c r="N1096" s="54">
        <v>34.33009593294905</v>
      </c>
      <c r="O1096" s="54">
        <v>6.4253578206383253</v>
      </c>
    </row>
    <row r="1097" spans="1:15" x14ac:dyDescent="0.35">
      <c r="A1097" s="59" t="s">
        <v>186</v>
      </c>
      <c r="B1097" s="60">
        <v>45802</v>
      </c>
      <c r="C1097" s="54">
        <v>131.80339689081902</v>
      </c>
      <c r="D1097" s="54"/>
      <c r="E1097">
        <v>131.80339689081902</v>
      </c>
      <c r="F1097">
        <v>113.35920485629855</v>
      </c>
      <c r="G1097">
        <v>163.50418360030233</v>
      </c>
      <c r="H1097" s="54">
        <v>921</v>
      </c>
      <c r="I1097" s="54" t="s">
        <v>156</v>
      </c>
      <c r="J1097" s="54">
        <v>1076</v>
      </c>
      <c r="K1097" s="54">
        <v>1096</v>
      </c>
      <c r="L1097" s="54">
        <v>122.9767844099545</v>
      </c>
      <c r="M1097" s="54">
        <v>8.8266124808645117</v>
      </c>
      <c r="N1097" s="54">
        <v>18.444192034520469</v>
      </c>
      <c r="O1097" s="54">
        <v>31.70078670948331</v>
      </c>
    </row>
    <row r="1098" spans="1:15" x14ac:dyDescent="0.35">
      <c r="A1098" s="59" t="s">
        <v>186</v>
      </c>
      <c r="B1098" s="60">
        <v>45809</v>
      </c>
      <c r="C1098" s="54">
        <v>136.2826869864561</v>
      </c>
      <c r="D1098" s="54"/>
      <c r="E1098">
        <v>136.2826869864561</v>
      </c>
      <c r="F1098">
        <v>89.042272645791329</v>
      </c>
      <c r="G1098">
        <v>168.52637677550945</v>
      </c>
      <c r="H1098" s="54">
        <v>921</v>
      </c>
      <c r="I1098" s="54" t="s">
        <v>156</v>
      </c>
      <c r="J1098" s="54">
        <v>1076</v>
      </c>
      <c r="K1098" s="54">
        <v>1097</v>
      </c>
      <c r="L1098" s="54">
        <v>4.8040699197675565</v>
      </c>
      <c r="M1098" s="54">
        <v>131.47861706668854</v>
      </c>
      <c r="N1098" s="54">
        <v>47.240414340664771</v>
      </c>
      <c r="O1098" s="54">
        <v>32.243689789053349</v>
      </c>
    </row>
    <row r="1099" spans="1:15" x14ac:dyDescent="0.35">
      <c r="A1099" s="59" t="s">
        <v>186</v>
      </c>
      <c r="B1099" s="60">
        <v>45816</v>
      </c>
      <c r="C1099" s="54">
        <v>139.28592952046685</v>
      </c>
      <c r="D1099" s="54"/>
      <c r="E1099">
        <v>139.28592952046685</v>
      </c>
      <c r="F1099">
        <v>132.76600355010152</v>
      </c>
      <c r="G1099">
        <v>181.97847556266618</v>
      </c>
      <c r="H1099" s="54">
        <v>921</v>
      </c>
      <c r="I1099" s="54" t="s">
        <v>156</v>
      </c>
      <c r="J1099" s="54">
        <v>1076</v>
      </c>
      <c r="K1099" s="54">
        <v>1098</v>
      </c>
      <c r="L1099" s="54">
        <v>55.596284816853469</v>
      </c>
      <c r="M1099" s="54">
        <v>83.689644703613382</v>
      </c>
      <c r="N1099" s="54">
        <v>6.5199259703653354</v>
      </c>
      <c r="O1099" s="54">
        <v>42.692546042199325</v>
      </c>
    </row>
    <row r="1100" spans="1:15" x14ac:dyDescent="0.35">
      <c r="A1100" s="59" t="s">
        <v>186</v>
      </c>
      <c r="B1100" s="60">
        <v>45823</v>
      </c>
      <c r="C1100" s="54">
        <v>16.820500064940859</v>
      </c>
      <c r="D1100" s="54"/>
      <c r="E1100">
        <v>16.820500064940859</v>
      </c>
      <c r="F1100">
        <v>114.527613469128</v>
      </c>
      <c r="G1100">
        <v>182.72996647880299</v>
      </c>
      <c r="H1100" s="54">
        <v>921</v>
      </c>
      <c r="I1100" s="54" t="s">
        <v>156</v>
      </c>
      <c r="J1100" s="54">
        <v>1076</v>
      </c>
      <c r="K1100" s="54">
        <v>1099</v>
      </c>
      <c r="L1100" s="54">
        <v>146.87886003054552</v>
      </c>
      <c r="M1100" s="54">
        <v>130.05835996560467</v>
      </c>
      <c r="N1100" s="54">
        <v>97.70711340418714</v>
      </c>
      <c r="O1100" s="54">
        <v>165.90946641386213</v>
      </c>
    </row>
    <row r="1101" spans="1:15" x14ac:dyDescent="0.35">
      <c r="A1101" s="59" t="s">
        <v>186</v>
      </c>
      <c r="B1101" s="60">
        <v>45830</v>
      </c>
      <c r="C1101" s="54">
        <v>103.07074599538623</v>
      </c>
      <c r="D1101" s="54"/>
      <c r="E1101">
        <v>103.07074599538623</v>
      </c>
      <c r="F1101">
        <v>121.63418437587974</v>
      </c>
      <c r="G1101">
        <v>169.44735641449594</v>
      </c>
      <c r="H1101" s="54">
        <v>921</v>
      </c>
      <c r="I1101" s="54" t="s">
        <v>156</v>
      </c>
      <c r="J1101" s="54">
        <v>1076</v>
      </c>
      <c r="K1101" s="54">
        <v>1100</v>
      </c>
      <c r="L1101" s="54">
        <v>39.312406265872021</v>
      </c>
      <c r="M1101" s="54">
        <v>63.758339729514212</v>
      </c>
      <c r="N1101" s="54">
        <v>18.563438380493508</v>
      </c>
      <c r="O1101" s="54">
        <v>66.37661041910971</v>
      </c>
    </row>
    <row r="1102" spans="1:15" x14ac:dyDescent="0.35">
      <c r="A1102" s="59" t="s">
        <v>186</v>
      </c>
      <c r="B1102" s="60">
        <v>45837</v>
      </c>
      <c r="C1102" s="54">
        <v>178.49291026738157</v>
      </c>
      <c r="D1102" s="54"/>
      <c r="E1102">
        <v>178.49291026738157</v>
      </c>
      <c r="F1102">
        <v>134.42549843209525</v>
      </c>
      <c r="G1102">
        <v>161.63735591675362</v>
      </c>
      <c r="H1102" s="54">
        <v>921</v>
      </c>
      <c r="I1102" s="54" t="s">
        <v>156</v>
      </c>
      <c r="J1102" s="54">
        <v>1076</v>
      </c>
      <c r="K1102" s="54">
        <v>1101</v>
      </c>
      <c r="L1102" s="54">
        <v>132.68662602109268</v>
      </c>
      <c r="M1102" s="54">
        <v>45.806284246288897</v>
      </c>
      <c r="N1102" s="54">
        <v>44.067411835286322</v>
      </c>
      <c r="O1102" s="54">
        <v>16.855554350627955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8674" r:id="rId5" name="Upd_Button">
              <controlPr defaultSize="0" print="0" autoFill="0" autoPict="0" macro="[0]!Upd_ets_test_and_training_data">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ABF5F-1939-4EC5-A513-AAB894EE2FFA}">
  <sheetPr codeName="Sheet071"/>
  <dimension ref="A1:Z192"/>
  <sheetViews>
    <sheetView zoomScaleNormal="100" workbookViewId="0">
      <pane ySplit="10" topLeftCell="A11" activePane="bottomLeft" state="frozen"/>
      <selection activeCell="A10" sqref="A10"/>
      <selection pane="bottomLeft" activeCell="F16" sqref="F16"/>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159</v>
      </c>
    </row>
    <row r="9" spans="1:26" x14ac:dyDescent="0.35">
      <c r="A9"/>
      <c r="B9" s="57" t="s">
        <v>154</v>
      </c>
      <c r="C9"/>
      <c r="D9"/>
      <c r="E9"/>
      <c r="F9"/>
      <c r="G9"/>
      <c r="H9"/>
    </row>
    <row r="10" spans="1:26" s="18" customFormat="1" x14ac:dyDescent="0.35">
      <c r="A10" s="57" t="s">
        <v>149</v>
      </c>
      <c r="B10" t="s">
        <v>153</v>
      </c>
      <c r="C10" t="s">
        <v>161</v>
      </c>
      <c r="D10" t="s">
        <v>158</v>
      </c>
      <c r="E10" t="s">
        <v>163</v>
      </c>
      <c r="F10" t="s">
        <v>179</v>
      </c>
      <c r="G10"/>
      <c r="H10"/>
    </row>
    <row r="11" spans="1:26" x14ac:dyDescent="0.35">
      <c r="A11" s="58">
        <v>44570</v>
      </c>
      <c r="B11" s="56">
        <v>116.36408474545787</v>
      </c>
      <c r="C11" s="56"/>
      <c r="D11" s="56" t="e">
        <v>#N/A</v>
      </c>
      <c r="E11" s="56"/>
      <c r="F11" s="56" t="e">
        <v>#N/A</v>
      </c>
      <c r="G11"/>
      <c r="H11"/>
    </row>
    <row r="12" spans="1:26" x14ac:dyDescent="0.35">
      <c r="A12" s="58">
        <v>44577</v>
      </c>
      <c r="B12" s="56">
        <v>125.52874595258821</v>
      </c>
      <c r="C12" s="56"/>
      <c r="D12" s="56" t="e">
        <v>#N/A</v>
      </c>
      <c r="E12" s="56"/>
      <c r="F12" s="56" t="e">
        <v>#N/A</v>
      </c>
      <c r="G12"/>
      <c r="H12"/>
    </row>
    <row r="13" spans="1:26" x14ac:dyDescent="0.35">
      <c r="A13" s="58">
        <v>44584</v>
      </c>
      <c r="B13" s="56">
        <v>86.163966859537595</v>
      </c>
      <c r="C13" s="56"/>
      <c r="D13" s="56" t="e">
        <v>#N/A</v>
      </c>
      <c r="E13" s="56"/>
      <c r="F13" s="56" t="e">
        <v>#N/A</v>
      </c>
      <c r="G13"/>
      <c r="H13"/>
    </row>
    <row r="14" spans="1:26" x14ac:dyDescent="0.35">
      <c r="A14" s="58">
        <v>44591</v>
      </c>
      <c r="B14" s="56">
        <v>314.32377496500806</v>
      </c>
      <c r="C14" s="56"/>
      <c r="D14" s="56" t="e">
        <v>#N/A</v>
      </c>
      <c r="E14" s="56"/>
      <c r="F14" s="56" t="e">
        <v>#N/A</v>
      </c>
      <c r="G14"/>
      <c r="H14"/>
    </row>
    <row r="15" spans="1:26" x14ac:dyDescent="0.35">
      <c r="A15" s="58">
        <v>44598</v>
      </c>
      <c r="B15" s="56">
        <v>76.27035319297002</v>
      </c>
      <c r="C15" s="56"/>
      <c r="D15" s="56" t="e">
        <v>#N/A</v>
      </c>
      <c r="E15" s="56"/>
      <c r="F15" s="56" t="e">
        <v>#N/A</v>
      </c>
      <c r="G15"/>
      <c r="H15"/>
    </row>
    <row r="16" spans="1:26" x14ac:dyDescent="0.35">
      <c r="A16" s="58">
        <v>44605</v>
      </c>
      <c r="B16" s="56">
        <v>97.751852069531822</v>
      </c>
      <c r="C16" s="56"/>
      <c r="D16" s="56" t="e">
        <v>#N/A</v>
      </c>
      <c r="E16" s="56"/>
      <c r="F16" s="56" t="e">
        <v>#N/A</v>
      </c>
      <c r="G16"/>
      <c r="H16"/>
    </row>
    <row r="17" spans="1:8" x14ac:dyDescent="0.35">
      <c r="A17" s="58">
        <v>44612</v>
      </c>
      <c r="B17" s="56">
        <v>0</v>
      </c>
      <c r="C17" s="56"/>
      <c r="D17" s="56" t="e">
        <v>#N/A</v>
      </c>
      <c r="E17" s="56"/>
      <c r="F17" s="56" t="e">
        <v>#N/A</v>
      </c>
      <c r="G17"/>
      <c r="H17"/>
    </row>
    <row r="18" spans="1:8" x14ac:dyDescent="0.35">
      <c r="A18" s="58">
        <v>44619</v>
      </c>
      <c r="B18" s="56">
        <v>166.45923060554497</v>
      </c>
      <c r="C18" s="56"/>
      <c r="D18" s="56" t="e">
        <v>#N/A</v>
      </c>
      <c r="E18" s="56"/>
      <c r="F18" s="56" t="e">
        <v>#N/A</v>
      </c>
      <c r="G18"/>
      <c r="H18"/>
    </row>
    <row r="19" spans="1:8" x14ac:dyDescent="0.35">
      <c r="A19" s="58">
        <v>44626</v>
      </c>
      <c r="B19" s="56">
        <v>66.954166769755915</v>
      </c>
      <c r="C19" s="56"/>
      <c r="D19" s="56" t="e">
        <v>#N/A</v>
      </c>
      <c r="E19" s="56"/>
      <c r="F19" s="56" t="e">
        <v>#N/A</v>
      </c>
      <c r="G19"/>
      <c r="H19"/>
    </row>
    <row r="20" spans="1:8" x14ac:dyDescent="0.35">
      <c r="A20" s="58">
        <v>44633</v>
      </c>
      <c r="B20" s="56">
        <v>96.716213333936651</v>
      </c>
      <c r="C20" s="56"/>
      <c r="D20" s="56" t="e">
        <v>#N/A</v>
      </c>
      <c r="E20" s="56"/>
      <c r="F20" s="56" t="e">
        <v>#N/A</v>
      </c>
      <c r="G20"/>
      <c r="H20"/>
    </row>
    <row r="21" spans="1:8" x14ac:dyDescent="0.35">
      <c r="A21" s="58">
        <v>44640</v>
      </c>
      <c r="B21" s="56">
        <v>68.792902508433514</v>
      </c>
      <c r="C21" s="56"/>
      <c r="D21" s="56" t="e">
        <v>#N/A</v>
      </c>
      <c r="E21" s="56"/>
      <c r="F21" s="56" t="e">
        <v>#N/A</v>
      </c>
      <c r="G21"/>
      <c r="H21"/>
    </row>
    <row r="22" spans="1:8" x14ac:dyDescent="0.35">
      <c r="A22" s="58">
        <v>44647</v>
      </c>
      <c r="B22" s="56">
        <v>92.267969639662226</v>
      </c>
      <c r="C22" s="56"/>
      <c r="D22" s="56" t="e">
        <v>#N/A</v>
      </c>
      <c r="E22" s="56"/>
      <c r="F22" s="56" t="e">
        <v>#N/A</v>
      </c>
      <c r="G22"/>
      <c r="H22"/>
    </row>
    <row r="23" spans="1:8" x14ac:dyDescent="0.35">
      <c r="A23" s="58">
        <v>44654</v>
      </c>
      <c r="B23" s="56">
        <v>83.125050018531525</v>
      </c>
      <c r="C23" s="56"/>
      <c r="D23" s="56" t="e">
        <v>#N/A</v>
      </c>
      <c r="E23" s="56"/>
      <c r="F23" s="56" t="e">
        <v>#N/A</v>
      </c>
      <c r="G23"/>
    </row>
    <row r="24" spans="1:8" x14ac:dyDescent="0.35">
      <c r="A24" s="58">
        <v>44661</v>
      </c>
      <c r="B24" s="56">
        <v>102.79647242885137</v>
      </c>
      <c r="C24" s="56"/>
      <c r="D24" s="56" t="e">
        <v>#N/A</v>
      </c>
      <c r="E24" s="56"/>
      <c r="F24" s="56" t="e">
        <v>#N/A</v>
      </c>
      <c r="G24"/>
    </row>
    <row r="25" spans="1:8" x14ac:dyDescent="0.35">
      <c r="A25" s="58">
        <v>44668</v>
      </c>
      <c r="B25" s="56">
        <v>104.56378408664864</v>
      </c>
      <c r="C25" s="56"/>
      <c r="D25" s="56" t="e">
        <v>#N/A</v>
      </c>
      <c r="E25" s="56"/>
      <c r="F25" s="56" t="e">
        <v>#N/A</v>
      </c>
      <c r="G25"/>
    </row>
    <row r="26" spans="1:8" x14ac:dyDescent="0.35">
      <c r="A26" s="58">
        <v>44675</v>
      </c>
      <c r="B26" s="56">
        <v>99.964848095942315</v>
      </c>
      <c r="C26" s="56"/>
      <c r="D26" s="56" t="e">
        <v>#N/A</v>
      </c>
      <c r="E26" s="56"/>
      <c r="F26" s="56" t="e">
        <v>#N/A</v>
      </c>
      <c r="G26"/>
    </row>
    <row r="27" spans="1:8" x14ac:dyDescent="0.35">
      <c r="A27" s="58">
        <v>44682</v>
      </c>
      <c r="B27" s="56">
        <v>90.82058051141972</v>
      </c>
      <c r="C27" s="56"/>
      <c r="D27" s="56" t="e">
        <v>#N/A</v>
      </c>
      <c r="E27" s="56"/>
      <c r="F27" s="56" t="e">
        <v>#N/A</v>
      </c>
      <c r="G27"/>
    </row>
    <row r="28" spans="1:8" x14ac:dyDescent="0.35">
      <c r="A28" s="58">
        <v>44689</v>
      </c>
      <c r="B28" s="56">
        <v>179.90848886059487</v>
      </c>
      <c r="C28" s="56"/>
      <c r="D28" s="56" t="e">
        <v>#N/A</v>
      </c>
      <c r="E28" s="56"/>
      <c r="F28" s="56" t="e">
        <v>#N/A</v>
      </c>
      <c r="G28"/>
    </row>
    <row r="29" spans="1:8" x14ac:dyDescent="0.35">
      <c r="A29" s="58">
        <v>44696</v>
      </c>
      <c r="B29" s="56">
        <v>162.21148729609581</v>
      </c>
      <c r="C29" s="56"/>
      <c r="D29" s="56" t="e">
        <v>#N/A</v>
      </c>
      <c r="E29" s="56"/>
      <c r="F29" s="56" t="e">
        <v>#N/A</v>
      </c>
      <c r="G29"/>
    </row>
    <row r="30" spans="1:8" x14ac:dyDescent="0.35">
      <c r="A30" s="58">
        <v>44703</v>
      </c>
      <c r="B30" s="56">
        <v>174.25910258897571</v>
      </c>
      <c r="C30" s="56"/>
      <c r="D30" s="56" t="e">
        <v>#N/A</v>
      </c>
      <c r="E30" s="56"/>
      <c r="F30" s="56" t="e">
        <v>#N/A</v>
      </c>
      <c r="G30"/>
    </row>
    <row r="31" spans="1:8" x14ac:dyDescent="0.35">
      <c r="A31" s="58">
        <v>44710</v>
      </c>
      <c r="B31" s="56">
        <v>81.082590420585575</v>
      </c>
      <c r="C31" s="56"/>
      <c r="D31" s="56" t="e">
        <v>#N/A</v>
      </c>
      <c r="E31" s="56"/>
      <c r="F31" s="56" t="e">
        <v>#N/A</v>
      </c>
      <c r="G31"/>
    </row>
    <row r="32" spans="1:8" x14ac:dyDescent="0.35">
      <c r="A32" s="58">
        <v>44717</v>
      </c>
      <c r="B32" s="56">
        <v>200.36123087061804</v>
      </c>
      <c r="C32" s="56"/>
      <c r="D32" s="56" t="e">
        <v>#N/A</v>
      </c>
      <c r="E32" s="56"/>
      <c r="F32" s="56" t="e">
        <v>#N/A</v>
      </c>
      <c r="G32"/>
    </row>
    <row r="33" spans="1:7" x14ac:dyDescent="0.35">
      <c r="A33" s="58">
        <v>44724</v>
      </c>
      <c r="B33" s="56">
        <v>179.25205798899103</v>
      </c>
      <c r="C33" s="56"/>
      <c r="D33" s="56" t="e">
        <v>#N/A</v>
      </c>
      <c r="E33" s="56"/>
      <c r="F33" s="56" t="e">
        <v>#N/A</v>
      </c>
      <c r="G33"/>
    </row>
    <row r="34" spans="1:7" x14ac:dyDescent="0.35">
      <c r="A34" s="58">
        <v>44731</v>
      </c>
      <c r="B34" s="56">
        <v>100.81646684474335</v>
      </c>
      <c r="C34" s="56"/>
      <c r="D34" s="56" t="e">
        <v>#N/A</v>
      </c>
      <c r="E34" s="56"/>
      <c r="F34" s="56" t="e">
        <v>#N/A</v>
      </c>
      <c r="G34"/>
    </row>
    <row r="35" spans="1:7" x14ac:dyDescent="0.35">
      <c r="A35" s="58">
        <v>44738</v>
      </c>
      <c r="B35" s="56">
        <v>194.79805082302261</v>
      </c>
      <c r="C35" s="56"/>
      <c r="D35" s="56" t="e">
        <v>#N/A</v>
      </c>
      <c r="E35" s="56"/>
      <c r="F35" s="56" t="e">
        <v>#N/A</v>
      </c>
      <c r="G35"/>
    </row>
    <row r="36" spans="1:7" x14ac:dyDescent="0.35">
      <c r="A36" s="58">
        <v>44745</v>
      </c>
      <c r="B36" s="56">
        <v>62.40827816971111</v>
      </c>
      <c r="C36" s="56"/>
      <c r="D36" s="56" t="e">
        <v>#N/A</v>
      </c>
      <c r="E36" s="56"/>
      <c r="F36" s="56" t="e">
        <v>#N/A</v>
      </c>
      <c r="G36"/>
    </row>
    <row r="37" spans="1:7" x14ac:dyDescent="0.35">
      <c r="A37" s="58">
        <v>44752</v>
      </c>
      <c r="B37" s="56">
        <v>3.2895126719322434</v>
      </c>
      <c r="C37" s="56"/>
      <c r="D37" s="56" t="e">
        <v>#N/A</v>
      </c>
      <c r="E37" s="56"/>
      <c r="F37" s="56" t="e">
        <v>#N/A</v>
      </c>
      <c r="G37"/>
    </row>
    <row r="38" spans="1:7" x14ac:dyDescent="0.35">
      <c r="A38" s="58">
        <v>44759</v>
      </c>
      <c r="B38" s="56">
        <v>166.72594015538905</v>
      </c>
      <c r="C38" s="56"/>
      <c r="D38" s="56" t="e">
        <v>#N/A</v>
      </c>
      <c r="E38" s="56"/>
      <c r="F38" s="56" t="e">
        <v>#N/A</v>
      </c>
      <c r="G38"/>
    </row>
    <row r="39" spans="1:7" x14ac:dyDescent="0.35">
      <c r="A39" s="58">
        <v>44766</v>
      </c>
      <c r="B39" s="56">
        <v>93.986071978293765</v>
      </c>
      <c r="C39" s="56"/>
      <c r="D39" s="56" t="e">
        <v>#N/A</v>
      </c>
      <c r="E39" s="56"/>
      <c r="F39" s="56" t="e">
        <v>#N/A</v>
      </c>
      <c r="G39"/>
    </row>
    <row r="40" spans="1:7" x14ac:dyDescent="0.35">
      <c r="A40" s="58">
        <v>44773</v>
      </c>
      <c r="B40" s="56">
        <v>159.25264485798451</v>
      </c>
      <c r="C40" s="56"/>
      <c r="D40" s="56" t="e">
        <v>#N/A</v>
      </c>
      <c r="E40" s="56"/>
      <c r="F40" s="56" t="e">
        <v>#N/A</v>
      </c>
      <c r="G40"/>
    </row>
    <row r="41" spans="1:7" x14ac:dyDescent="0.35">
      <c r="A41" s="58">
        <v>44780</v>
      </c>
      <c r="B41" s="56">
        <v>56.199167172004529</v>
      </c>
      <c r="C41" s="56"/>
      <c r="D41" s="56" t="e">
        <v>#N/A</v>
      </c>
      <c r="E41" s="56"/>
      <c r="F41" s="56" t="e">
        <v>#N/A</v>
      </c>
      <c r="G41"/>
    </row>
    <row r="42" spans="1:7" x14ac:dyDescent="0.35">
      <c r="A42" s="58">
        <v>44787</v>
      </c>
      <c r="B42" s="56">
        <v>31.384602617034943</v>
      </c>
      <c r="C42" s="56"/>
      <c r="D42" s="56" t="e">
        <v>#N/A</v>
      </c>
      <c r="E42" s="56"/>
      <c r="F42" s="56" t="e">
        <v>#N/A</v>
      </c>
      <c r="G42"/>
    </row>
    <row r="43" spans="1:7" x14ac:dyDescent="0.35">
      <c r="A43" s="58">
        <v>44794</v>
      </c>
      <c r="B43" s="56">
        <v>181.65725172800398</v>
      </c>
      <c r="C43" s="56"/>
      <c r="D43" s="56" t="e">
        <v>#N/A</v>
      </c>
      <c r="E43" s="56"/>
      <c r="F43" s="56" t="e">
        <v>#N/A</v>
      </c>
      <c r="G43"/>
    </row>
    <row r="44" spans="1:7" x14ac:dyDescent="0.35">
      <c r="A44" s="58">
        <v>44801</v>
      </c>
      <c r="B44" s="56">
        <v>16.324083125885537</v>
      </c>
      <c r="C44" s="56"/>
      <c r="D44" s="56" t="e">
        <v>#N/A</v>
      </c>
      <c r="E44" s="56"/>
      <c r="F44" s="56" t="e">
        <v>#N/A</v>
      </c>
      <c r="G44"/>
    </row>
    <row r="45" spans="1:7" x14ac:dyDescent="0.35">
      <c r="A45" s="58">
        <v>44808</v>
      </c>
      <c r="B45" s="56">
        <v>7.9684956222059924</v>
      </c>
      <c r="C45" s="56"/>
      <c r="D45" s="56" t="e">
        <v>#N/A</v>
      </c>
      <c r="E45" s="56"/>
      <c r="F45" s="56" t="e">
        <v>#N/A</v>
      </c>
      <c r="G45"/>
    </row>
    <row r="46" spans="1:7" x14ac:dyDescent="0.35">
      <c r="A46" s="58">
        <v>44815</v>
      </c>
      <c r="B46" s="56">
        <v>0</v>
      </c>
      <c r="C46" s="56"/>
      <c r="D46" s="56" t="e">
        <v>#N/A</v>
      </c>
      <c r="E46" s="56"/>
      <c r="F46" s="56" t="e">
        <v>#N/A</v>
      </c>
      <c r="G46"/>
    </row>
    <row r="47" spans="1:7" x14ac:dyDescent="0.35">
      <c r="A47" s="58">
        <v>44822</v>
      </c>
      <c r="B47" s="56">
        <v>0</v>
      </c>
      <c r="C47" s="56"/>
      <c r="D47" s="56" t="e">
        <v>#N/A</v>
      </c>
      <c r="E47" s="56"/>
      <c r="F47" s="56" t="e">
        <v>#N/A</v>
      </c>
      <c r="G47"/>
    </row>
    <row r="48" spans="1:7" x14ac:dyDescent="0.35">
      <c r="A48" s="58">
        <v>44829</v>
      </c>
      <c r="B48" s="56">
        <v>49.388603987890477</v>
      </c>
      <c r="C48" s="56"/>
      <c r="D48" s="56" t="e">
        <v>#N/A</v>
      </c>
      <c r="E48" s="56"/>
      <c r="F48" s="56" t="e">
        <v>#N/A</v>
      </c>
      <c r="G48"/>
    </row>
    <row r="49" spans="1:7" x14ac:dyDescent="0.35">
      <c r="A49" s="58">
        <v>44836</v>
      </c>
      <c r="B49" s="56">
        <v>0</v>
      </c>
      <c r="C49" s="56"/>
      <c r="D49" s="56" t="e">
        <v>#N/A</v>
      </c>
      <c r="E49" s="56"/>
      <c r="F49" s="56" t="e">
        <v>#N/A</v>
      </c>
      <c r="G49"/>
    </row>
    <row r="50" spans="1:7" x14ac:dyDescent="0.35">
      <c r="A50" s="58">
        <v>44843</v>
      </c>
      <c r="B50" s="56">
        <v>115.21110307993744</v>
      </c>
      <c r="C50" s="56"/>
      <c r="D50" s="56" t="e">
        <v>#N/A</v>
      </c>
      <c r="E50" s="56"/>
      <c r="F50" s="56" t="e">
        <v>#N/A</v>
      </c>
      <c r="G50"/>
    </row>
    <row r="51" spans="1:7" x14ac:dyDescent="0.35">
      <c r="A51" s="58">
        <v>44850</v>
      </c>
      <c r="B51" s="56">
        <v>0</v>
      </c>
      <c r="C51" s="56"/>
      <c r="D51" s="56" t="e">
        <v>#N/A</v>
      </c>
      <c r="E51" s="56"/>
      <c r="F51" s="56" t="e">
        <v>#N/A</v>
      </c>
      <c r="G51"/>
    </row>
    <row r="52" spans="1:7" x14ac:dyDescent="0.35">
      <c r="A52" s="58">
        <v>44857</v>
      </c>
      <c r="B52" s="56">
        <v>41.275827293000376</v>
      </c>
      <c r="C52" s="56"/>
      <c r="D52" s="56" t="e">
        <v>#N/A</v>
      </c>
      <c r="E52" s="56"/>
      <c r="F52" s="56" t="e">
        <v>#N/A</v>
      </c>
      <c r="G52"/>
    </row>
    <row r="53" spans="1:7" x14ac:dyDescent="0.35">
      <c r="A53" s="58">
        <v>44864</v>
      </c>
      <c r="B53" s="56">
        <v>256.84080161438766</v>
      </c>
      <c r="C53" s="56"/>
      <c r="D53" s="56" t="e">
        <v>#N/A</v>
      </c>
      <c r="E53" s="56"/>
      <c r="F53" s="56" t="e">
        <v>#N/A</v>
      </c>
      <c r="G53"/>
    </row>
    <row r="54" spans="1:7" x14ac:dyDescent="0.35">
      <c r="A54" s="58">
        <v>44871</v>
      </c>
      <c r="B54" s="56">
        <v>125.34992079742781</v>
      </c>
      <c r="C54" s="56"/>
      <c r="D54" s="56" t="e">
        <v>#N/A</v>
      </c>
      <c r="E54" s="56"/>
      <c r="F54" s="56" t="e">
        <v>#N/A</v>
      </c>
      <c r="G54"/>
    </row>
    <row r="55" spans="1:7" x14ac:dyDescent="0.35">
      <c r="A55" s="58">
        <v>44878</v>
      </c>
      <c r="B55" s="56">
        <v>110.4159202207296</v>
      </c>
      <c r="C55" s="56"/>
      <c r="D55" s="56" t="e">
        <v>#N/A</v>
      </c>
      <c r="E55" s="56"/>
      <c r="F55" s="56" t="e">
        <v>#N/A</v>
      </c>
      <c r="G55"/>
    </row>
    <row r="56" spans="1:7" x14ac:dyDescent="0.35">
      <c r="A56" s="58">
        <v>44885</v>
      </c>
      <c r="B56" s="56">
        <v>4.7299406537832596</v>
      </c>
      <c r="C56" s="56"/>
      <c r="D56" s="56" t="e">
        <v>#N/A</v>
      </c>
      <c r="E56" s="56"/>
      <c r="F56" s="56" t="e">
        <v>#N/A</v>
      </c>
      <c r="G56"/>
    </row>
    <row r="57" spans="1:7" x14ac:dyDescent="0.35">
      <c r="A57" s="58">
        <v>44892</v>
      </c>
      <c r="B57" s="56">
        <v>87.009345057444648</v>
      </c>
      <c r="C57" s="56"/>
      <c r="D57" s="56" t="e">
        <v>#N/A</v>
      </c>
      <c r="E57" s="56"/>
      <c r="F57" s="56" t="e">
        <v>#N/A</v>
      </c>
      <c r="G57"/>
    </row>
    <row r="58" spans="1:7" x14ac:dyDescent="0.35">
      <c r="A58" s="58">
        <v>44899</v>
      </c>
      <c r="B58" s="56">
        <v>109.1378041408248</v>
      </c>
      <c r="C58" s="56"/>
      <c r="D58" s="56" t="e">
        <v>#N/A</v>
      </c>
      <c r="E58" s="56"/>
      <c r="F58" s="56" t="e">
        <v>#N/A</v>
      </c>
      <c r="G58"/>
    </row>
    <row r="59" spans="1:7" x14ac:dyDescent="0.35">
      <c r="A59" s="58">
        <v>44906</v>
      </c>
      <c r="B59" s="56">
        <v>4.8055473257113732</v>
      </c>
      <c r="C59" s="56"/>
      <c r="D59" s="56" t="e">
        <v>#N/A</v>
      </c>
      <c r="E59" s="56"/>
      <c r="F59" s="56" t="e">
        <v>#N/A</v>
      </c>
      <c r="G59"/>
    </row>
    <row r="60" spans="1:7" x14ac:dyDescent="0.35">
      <c r="A60" s="58">
        <v>44913</v>
      </c>
      <c r="B60" s="56">
        <v>112.3025140506948</v>
      </c>
      <c r="C60" s="56"/>
      <c r="D60" s="56" t="e">
        <v>#N/A</v>
      </c>
      <c r="E60" s="56"/>
      <c r="F60" s="56" t="e">
        <v>#N/A</v>
      </c>
      <c r="G60"/>
    </row>
    <row r="61" spans="1:7" x14ac:dyDescent="0.35">
      <c r="A61" s="58">
        <v>44920</v>
      </c>
      <c r="B61" s="56">
        <v>172.88324625725153</v>
      </c>
      <c r="C61" s="56"/>
      <c r="D61" s="56" t="e">
        <v>#N/A</v>
      </c>
      <c r="E61" s="56"/>
      <c r="F61" s="56" t="e">
        <v>#N/A</v>
      </c>
      <c r="G61"/>
    </row>
    <row r="62" spans="1:7" x14ac:dyDescent="0.35">
      <c r="A62" s="58">
        <v>44927</v>
      </c>
      <c r="B62" s="56">
        <v>80.455974729360662</v>
      </c>
      <c r="C62" s="56"/>
      <c r="D62" s="56" t="e">
        <v>#N/A</v>
      </c>
      <c r="E62" s="56"/>
      <c r="F62" s="56" t="e">
        <v>#N/A</v>
      </c>
      <c r="G62"/>
    </row>
    <row r="63" spans="1:7" x14ac:dyDescent="0.35">
      <c r="A63" s="58">
        <v>44934</v>
      </c>
      <c r="B63" s="56">
        <v>89.341584228678613</v>
      </c>
      <c r="C63" s="56"/>
      <c r="D63" s="56" t="e">
        <v>#N/A</v>
      </c>
      <c r="E63" s="56"/>
      <c r="F63" s="56" t="e">
        <v>#N/A</v>
      </c>
      <c r="G63"/>
    </row>
    <row r="64" spans="1:7" x14ac:dyDescent="0.35">
      <c r="A64" s="58">
        <v>44941</v>
      </c>
      <c r="B64" s="56">
        <v>0</v>
      </c>
      <c r="C64" s="56"/>
      <c r="D64" s="56" t="e">
        <v>#N/A</v>
      </c>
      <c r="E64" s="56"/>
      <c r="F64" s="56" t="e">
        <v>#N/A</v>
      </c>
      <c r="G64"/>
    </row>
    <row r="65" spans="1:7" x14ac:dyDescent="0.35">
      <c r="A65" s="58">
        <v>44948</v>
      </c>
      <c r="B65" s="56">
        <v>17.300013243632634</v>
      </c>
      <c r="C65" s="56"/>
      <c r="D65" s="56" t="e">
        <v>#N/A</v>
      </c>
      <c r="E65" s="56"/>
      <c r="F65" s="56" t="e">
        <v>#N/A</v>
      </c>
      <c r="G65"/>
    </row>
    <row r="66" spans="1:7" x14ac:dyDescent="0.35">
      <c r="A66" s="58">
        <v>44955</v>
      </c>
      <c r="B66" s="56">
        <v>164.75612004165833</v>
      </c>
      <c r="C66" s="56"/>
      <c r="D66" s="56" t="e">
        <v>#N/A</v>
      </c>
      <c r="E66" s="56"/>
      <c r="F66" s="56" t="e">
        <v>#N/A</v>
      </c>
      <c r="G66"/>
    </row>
    <row r="67" spans="1:7" x14ac:dyDescent="0.35">
      <c r="A67" s="58">
        <v>44962</v>
      </c>
      <c r="B67" s="56">
        <v>61.642587333313173</v>
      </c>
      <c r="C67" s="56"/>
      <c r="D67" s="56" t="e">
        <v>#N/A</v>
      </c>
      <c r="E67" s="56"/>
      <c r="F67" s="56" t="e">
        <v>#N/A</v>
      </c>
      <c r="G67"/>
    </row>
    <row r="68" spans="1:7" x14ac:dyDescent="0.35">
      <c r="A68" s="58">
        <v>44969</v>
      </c>
      <c r="B68" s="56">
        <v>45.595000066736368</v>
      </c>
      <c r="C68" s="56"/>
      <c r="D68" s="56" t="e">
        <v>#N/A</v>
      </c>
      <c r="E68" s="56"/>
      <c r="F68" s="56" t="e">
        <v>#N/A</v>
      </c>
      <c r="G68"/>
    </row>
    <row r="69" spans="1:7" x14ac:dyDescent="0.35">
      <c r="A69" s="58">
        <v>44976</v>
      </c>
      <c r="B69" s="56">
        <v>59.865665035908002</v>
      </c>
      <c r="C69" s="56"/>
      <c r="D69" s="56" t="e">
        <v>#N/A</v>
      </c>
      <c r="E69" s="56"/>
      <c r="F69" s="56" t="e">
        <v>#N/A</v>
      </c>
      <c r="G69"/>
    </row>
    <row r="70" spans="1:7" x14ac:dyDescent="0.35">
      <c r="A70" s="58">
        <v>44983</v>
      </c>
      <c r="B70" s="56">
        <v>98.016600102526951</v>
      </c>
      <c r="C70" s="56"/>
      <c r="D70" s="56" t="e">
        <v>#N/A</v>
      </c>
      <c r="E70" s="56"/>
      <c r="F70" s="56" t="e">
        <v>#N/A</v>
      </c>
      <c r="G70"/>
    </row>
    <row r="71" spans="1:7" x14ac:dyDescent="0.35">
      <c r="A71" s="58">
        <v>44990</v>
      </c>
      <c r="B71" s="56">
        <v>32.067182081664384</v>
      </c>
      <c r="C71" s="56"/>
      <c r="D71" s="56" t="e">
        <v>#N/A</v>
      </c>
      <c r="E71" s="56"/>
      <c r="F71" s="56" t="e">
        <v>#N/A</v>
      </c>
      <c r="G71"/>
    </row>
    <row r="72" spans="1:7" x14ac:dyDescent="0.35">
      <c r="A72" s="58">
        <v>44997</v>
      </c>
      <c r="B72" s="56">
        <v>109.14978517101169</v>
      </c>
      <c r="C72" s="56"/>
      <c r="D72" s="56" t="e">
        <v>#N/A</v>
      </c>
      <c r="E72" s="56"/>
      <c r="F72" s="56" t="e">
        <v>#N/A</v>
      </c>
      <c r="G72"/>
    </row>
    <row r="73" spans="1:7" x14ac:dyDescent="0.35">
      <c r="A73" s="58">
        <v>45004</v>
      </c>
      <c r="B73" s="56">
        <v>20.05900623071966</v>
      </c>
      <c r="C73" s="56"/>
      <c r="D73" s="56" t="e">
        <v>#N/A</v>
      </c>
      <c r="E73" s="56"/>
      <c r="F73" s="56" t="e">
        <v>#N/A</v>
      </c>
      <c r="G73"/>
    </row>
    <row r="74" spans="1:7" x14ac:dyDescent="0.35">
      <c r="A74" s="58">
        <v>45011</v>
      </c>
      <c r="B74" s="56">
        <v>152.25885263580969</v>
      </c>
      <c r="C74" s="56"/>
      <c r="D74" s="56" t="e">
        <v>#N/A</v>
      </c>
      <c r="E74" s="56"/>
      <c r="F74" s="56" t="e">
        <v>#N/A</v>
      </c>
      <c r="G74"/>
    </row>
    <row r="75" spans="1:7" x14ac:dyDescent="0.35">
      <c r="A75" s="58">
        <v>45018</v>
      </c>
      <c r="B75" s="56">
        <v>38.313524521082428</v>
      </c>
      <c r="C75" s="56"/>
      <c r="D75" s="56" t="e">
        <v>#N/A</v>
      </c>
      <c r="E75" s="56"/>
      <c r="F75" s="56" t="e">
        <v>#N/A</v>
      </c>
      <c r="G75"/>
    </row>
    <row r="76" spans="1:7" x14ac:dyDescent="0.35">
      <c r="A76" s="58">
        <v>45025</v>
      </c>
      <c r="B76" s="56">
        <v>181.46471425242493</v>
      </c>
      <c r="C76" s="56"/>
      <c r="D76" s="56" t="e">
        <v>#N/A</v>
      </c>
      <c r="E76" s="56"/>
      <c r="F76" s="56" t="e">
        <v>#N/A</v>
      </c>
      <c r="G76"/>
    </row>
    <row r="77" spans="1:7" x14ac:dyDescent="0.35">
      <c r="A77" s="58">
        <v>45032</v>
      </c>
      <c r="B77" s="56">
        <v>104.13935018266825</v>
      </c>
      <c r="C77" s="56"/>
      <c r="D77" s="56" t="e">
        <v>#N/A</v>
      </c>
      <c r="E77" s="56"/>
      <c r="F77" s="56" t="e">
        <v>#N/A</v>
      </c>
      <c r="G77"/>
    </row>
    <row r="78" spans="1:7" x14ac:dyDescent="0.35">
      <c r="A78" s="58">
        <v>45039</v>
      </c>
      <c r="B78" s="56">
        <v>63.598389010902736</v>
      </c>
      <c r="C78" s="56"/>
      <c r="D78" s="56" t="e">
        <v>#N/A</v>
      </c>
      <c r="E78" s="56"/>
      <c r="F78" s="56" t="e">
        <v>#N/A</v>
      </c>
      <c r="G78"/>
    </row>
    <row r="79" spans="1:7" x14ac:dyDescent="0.35">
      <c r="A79" s="58">
        <v>45046</v>
      </c>
      <c r="B79" s="56">
        <v>183.58098187151339</v>
      </c>
      <c r="C79" s="56"/>
      <c r="D79" s="56" t="e">
        <v>#N/A</v>
      </c>
      <c r="E79" s="56"/>
      <c r="F79" s="56" t="e">
        <v>#N/A</v>
      </c>
      <c r="G79"/>
    </row>
    <row r="80" spans="1:7" x14ac:dyDescent="0.35">
      <c r="A80" s="58">
        <v>45053</v>
      </c>
      <c r="B80" s="56">
        <v>31.860194543012028</v>
      </c>
      <c r="C80" s="56"/>
      <c r="D80" s="56" t="e">
        <v>#N/A</v>
      </c>
      <c r="E80" s="56"/>
      <c r="F80" s="56" t="e">
        <v>#N/A</v>
      </c>
      <c r="G80"/>
    </row>
    <row r="81" spans="1:7" x14ac:dyDescent="0.35">
      <c r="A81" s="58">
        <v>45060</v>
      </c>
      <c r="B81" s="56">
        <v>91.127037104115189</v>
      </c>
      <c r="C81" s="56"/>
      <c r="D81" s="56" t="e">
        <v>#N/A</v>
      </c>
      <c r="E81" s="56"/>
      <c r="F81" s="56" t="e">
        <v>#N/A</v>
      </c>
      <c r="G81"/>
    </row>
    <row r="82" spans="1:7" x14ac:dyDescent="0.35">
      <c r="A82" s="58">
        <v>45067</v>
      </c>
      <c r="B82" s="56">
        <v>138.37479852222549</v>
      </c>
      <c r="C82" s="56"/>
      <c r="D82" s="56" t="e">
        <v>#N/A</v>
      </c>
      <c r="E82" s="56"/>
      <c r="F82" s="56" t="e">
        <v>#N/A</v>
      </c>
      <c r="G82"/>
    </row>
    <row r="83" spans="1:7" x14ac:dyDescent="0.35">
      <c r="A83" s="58">
        <v>45074</v>
      </c>
      <c r="B83" s="56">
        <v>117.79437252828978</v>
      </c>
      <c r="C83" s="56"/>
      <c r="D83" s="56" t="e">
        <v>#N/A</v>
      </c>
      <c r="E83" s="56"/>
      <c r="F83" s="56" t="e">
        <v>#N/A</v>
      </c>
      <c r="G83"/>
    </row>
    <row r="84" spans="1:7" x14ac:dyDescent="0.35">
      <c r="A84" s="58">
        <v>45081</v>
      </c>
      <c r="B84" s="56">
        <v>0</v>
      </c>
      <c r="C84" s="56"/>
      <c r="D84" s="56" t="e">
        <v>#N/A</v>
      </c>
      <c r="E84" s="56"/>
      <c r="F84" s="56" t="e">
        <v>#N/A</v>
      </c>
      <c r="G84"/>
    </row>
    <row r="85" spans="1:7" x14ac:dyDescent="0.35">
      <c r="A85" s="58">
        <v>45088</v>
      </c>
      <c r="B85" s="56">
        <v>51.665710983120405</v>
      </c>
      <c r="C85" s="56"/>
      <c r="D85" s="56" t="e">
        <v>#N/A</v>
      </c>
      <c r="E85" s="56"/>
      <c r="F85" s="56" t="e">
        <v>#N/A</v>
      </c>
      <c r="G85"/>
    </row>
    <row r="86" spans="1:7" x14ac:dyDescent="0.35">
      <c r="A86" s="58">
        <v>45095</v>
      </c>
      <c r="B86" s="56">
        <v>142.79686239208499</v>
      </c>
      <c r="C86" s="56"/>
      <c r="D86" s="56" t="e">
        <v>#N/A</v>
      </c>
      <c r="E86" s="56"/>
      <c r="F86" s="56" t="e">
        <v>#N/A</v>
      </c>
      <c r="G86"/>
    </row>
    <row r="87" spans="1:7" x14ac:dyDescent="0.35">
      <c r="A87" s="58">
        <v>45102</v>
      </c>
      <c r="B87" s="56">
        <v>33.436652986392176</v>
      </c>
      <c r="C87" s="56"/>
      <c r="D87" s="56" t="e">
        <v>#N/A</v>
      </c>
      <c r="E87" s="56"/>
      <c r="F87" s="56" t="e">
        <v>#N/A</v>
      </c>
      <c r="G87"/>
    </row>
    <row r="88" spans="1:7" x14ac:dyDescent="0.35">
      <c r="A88" s="58">
        <v>45109</v>
      </c>
      <c r="B88" s="56">
        <v>184.18416418657245</v>
      </c>
      <c r="C88" s="56"/>
      <c r="D88" s="56" t="e">
        <v>#N/A</v>
      </c>
      <c r="E88" s="56"/>
      <c r="F88" s="56" t="e">
        <v>#N/A</v>
      </c>
      <c r="G88"/>
    </row>
    <row r="89" spans="1:7" x14ac:dyDescent="0.35">
      <c r="A89" s="58">
        <v>45116</v>
      </c>
      <c r="B89" s="56">
        <v>133.28352216400071</v>
      </c>
      <c r="C89" s="56"/>
      <c r="D89" s="56" t="e">
        <v>#N/A</v>
      </c>
      <c r="E89" s="56"/>
      <c r="F89" s="56" t="e">
        <v>#N/A</v>
      </c>
      <c r="G89"/>
    </row>
    <row r="90" spans="1:7" x14ac:dyDescent="0.35">
      <c r="A90" s="58">
        <v>45123</v>
      </c>
      <c r="B90" s="56">
        <v>71.87111932261746</v>
      </c>
      <c r="C90" s="56"/>
      <c r="D90" s="56" t="e">
        <v>#N/A</v>
      </c>
      <c r="E90" s="56"/>
      <c r="F90" s="56" t="e">
        <v>#N/A</v>
      </c>
      <c r="G90"/>
    </row>
    <row r="91" spans="1:7" x14ac:dyDescent="0.35">
      <c r="A91" s="58">
        <v>45130</v>
      </c>
      <c r="B91" s="56">
        <v>96.448174888086939</v>
      </c>
      <c r="C91" s="56"/>
      <c r="D91" s="56" t="e">
        <v>#N/A</v>
      </c>
      <c r="E91" s="56"/>
      <c r="F91" s="56" t="e">
        <v>#N/A</v>
      </c>
      <c r="G91"/>
    </row>
    <row r="92" spans="1:7" x14ac:dyDescent="0.35">
      <c r="A92" s="58">
        <v>45137</v>
      </c>
      <c r="B92" s="56">
        <v>215.24996142023014</v>
      </c>
      <c r="C92" s="56"/>
      <c r="D92" s="56" t="e">
        <v>#N/A</v>
      </c>
      <c r="E92" s="56"/>
      <c r="F92" s="56" t="e">
        <v>#N/A</v>
      </c>
      <c r="G92"/>
    </row>
    <row r="93" spans="1:7" x14ac:dyDescent="0.35">
      <c r="A93" s="58">
        <v>45144</v>
      </c>
      <c r="B93" s="56">
        <v>160.88718077259671</v>
      </c>
      <c r="C93" s="56"/>
      <c r="D93" s="56" t="e">
        <v>#N/A</v>
      </c>
      <c r="E93" s="56"/>
      <c r="F93" s="56" t="e">
        <v>#N/A</v>
      </c>
      <c r="G93"/>
    </row>
    <row r="94" spans="1:7" x14ac:dyDescent="0.35">
      <c r="A94" s="58">
        <v>45151</v>
      </c>
      <c r="B94" s="56">
        <v>129.0129661001385</v>
      </c>
      <c r="C94" s="56"/>
      <c r="D94" s="56" t="e">
        <v>#N/A</v>
      </c>
      <c r="E94" s="56"/>
      <c r="F94" s="56" t="e">
        <v>#N/A</v>
      </c>
      <c r="G94"/>
    </row>
    <row r="95" spans="1:7" x14ac:dyDescent="0.35">
      <c r="A95" s="58">
        <v>45158</v>
      </c>
      <c r="B95" s="56">
        <v>18.513651987707689</v>
      </c>
      <c r="C95" s="56"/>
      <c r="D95" s="56" t="e">
        <v>#N/A</v>
      </c>
      <c r="E95" s="56"/>
      <c r="F95" s="56" t="e">
        <v>#N/A</v>
      </c>
      <c r="G95"/>
    </row>
    <row r="96" spans="1:7" x14ac:dyDescent="0.35">
      <c r="A96" s="58">
        <v>45165</v>
      </c>
      <c r="B96" s="56">
        <v>202.62852601271726</v>
      </c>
      <c r="C96" s="56"/>
      <c r="D96" s="56" t="e">
        <v>#N/A</v>
      </c>
      <c r="E96" s="56"/>
      <c r="F96" s="56" t="e">
        <v>#N/A</v>
      </c>
      <c r="G96"/>
    </row>
    <row r="97" spans="1:7" x14ac:dyDescent="0.35">
      <c r="A97" s="58">
        <v>45172</v>
      </c>
      <c r="B97" s="56">
        <v>166.50892999578471</v>
      </c>
      <c r="C97" s="56"/>
      <c r="D97" s="56" t="e">
        <v>#N/A</v>
      </c>
      <c r="E97" s="56"/>
      <c r="F97" s="56" t="e">
        <v>#N/A</v>
      </c>
      <c r="G97"/>
    </row>
    <row r="98" spans="1:7" x14ac:dyDescent="0.35">
      <c r="A98" s="58">
        <v>45179</v>
      </c>
      <c r="B98" s="56">
        <v>99.10225478509436</v>
      </c>
      <c r="C98" s="56"/>
      <c r="D98" s="56" t="e">
        <v>#N/A</v>
      </c>
      <c r="E98" s="56"/>
      <c r="F98" s="56" t="e">
        <v>#N/A</v>
      </c>
      <c r="G98"/>
    </row>
    <row r="99" spans="1:7" x14ac:dyDescent="0.35">
      <c r="A99" s="58">
        <v>45186</v>
      </c>
      <c r="B99" s="56">
        <v>77.605184290974208</v>
      </c>
      <c r="C99" s="56"/>
      <c r="D99" s="56" t="e">
        <v>#N/A</v>
      </c>
      <c r="E99" s="56"/>
      <c r="F99" s="56" t="e">
        <v>#N/A</v>
      </c>
      <c r="G99"/>
    </row>
    <row r="100" spans="1:7" x14ac:dyDescent="0.35">
      <c r="A100" s="58">
        <v>45193</v>
      </c>
      <c r="B100" s="56">
        <v>101.93273468877105</v>
      </c>
      <c r="C100" s="56"/>
      <c r="D100" s="56" t="e">
        <v>#N/A</v>
      </c>
      <c r="E100" s="56"/>
      <c r="F100" s="56" t="e">
        <v>#N/A</v>
      </c>
      <c r="G100"/>
    </row>
    <row r="101" spans="1:7" x14ac:dyDescent="0.35">
      <c r="A101" s="58">
        <v>45200</v>
      </c>
      <c r="B101" s="56">
        <v>36.758707990203362</v>
      </c>
      <c r="C101" s="56"/>
      <c r="D101" s="56" t="e">
        <v>#N/A</v>
      </c>
      <c r="E101" s="56"/>
      <c r="F101" s="56" t="e">
        <v>#N/A</v>
      </c>
      <c r="G101"/>
    </row>
    <row r="102" spans="1:7" x14ac:dyDescent="0.35">
      <c r="A102" s="58">
        <v>45207</v>
      </c>
      <c r="B102" s="56">
        <v>80.28975528590135</v>
      </c>
      <c r="C102" s="56"/>
      <c r="D102" s="56" t="e">
        <v>#N/A</v>
      </c>
      <c r="E102" s="56"/>
      <c r="F102" s="56" t="e">
        <v>#N/A</v>
      </c>
      <c r="G102"/>
    </row>
    <row r="103" spans="1:7" x14ac:dyDescent="0.35">
      <c r="A103" s="58">
        <v>45214</v>
      </c>
      <c r="B103" s="56">
        <v>158.18350550821748</v>
      </c>
      <c r="C103" s="56"/>
      <c r="D103" s="56" t="e">
        <v>#N/A</v>
      </c>
      <c r="E103" s="56"/>
      <c r="F103" s="56" t="e">
        <v>#N/A</v>
      </c>
      <c r="G103"/>
    </row>
    <row r="104" spans="1:7" x14ac:dyDescent="0.35">
      <c r="A104" s="58">
        <v>45221</v>
      </c>
      <c r="B104" s="56">
        <v>8.292772218880728</v>
      </c>
      <c r="C104" s="56"/>
      <c r="D104" s="56" t="e">
        <v>#N/A</v>
      </c>
      <c r="E104" s="56"/>
      <c r="F104" s="56" t="e">
        <v>#N/A</v>
      </c>
      <c r="G104"/>
    </row>
    <row r="105" spans="1:7" x14ac:dyDescent="0.35">
      <c r="A105" s="58">
        <v>45228</v>
      </c>
      <c r="B105" s="56">
        <v>103.36708986578606</v>
      </c>
      <c r="C105" s="56"/>
      <c r="D105" s="56" t="e">
        <v>#N/A</v>
      </c>
      <c r="E105" s="56"/>
      <c r="F105" s="56" t="e">
        <v>#N/A</v>
      </c>
      <c r="G105"/>
    </row>
    <row r="106" spans="1:7" x14ac:dyDescent="0.35">
      <c r="A106" s="58">
        <v>45235</v>
      </c>
      <c r="B106" s="56">
        <v>112.62821336390655</v>
      </c>
      <c r="C106" s="56"/>
      <c r="D106" s="56" t="e">
        <v>#N/A</v>
      </c>
      <c r="E106" s="56"/>
      <c r="F106" s="56" t="e">
        <v>#N/A</v>
      </c>
      <c r="G106"/>
    </row>
    <row r="107" spans="1:7" x14ac:dyDescent="0.35">
      <c r="A107" s="58">
        <v>45242</v>
      </c>
      <c r="B107" s="56">
        <v>113.07917728035987</v>
      </c>
      <c r="C107" s="56"/>
      <c r="D107" s="56" t="e">
        <v>#N/A</v>
      </c>
      <c r="E107" s="56"/>
      <c r="F107" s="56" t="e">
        <v>#N/A</v>
      </c>
      <c r="G107"/>
    </row>
    <row r="108" spans="1:7" x14ac:dyDescent="0.35">
      <c r="A108" s="58">
        <v>45249</v>
      </c>
      <c r="B108" s="56">
        <v>37.975634749008861</v>
      </c>
      <c r="C108" s="56"/>
      <c r="D108" s="56" t="e">
        <v>#N/A</v>
      </c>
      <c r="E108" s="56"/>
      <c r="F108" s="56" t="e">
        <v>#N/A</v>
      </c>
      <c r="G108"/>
    </row>
    <row r="109" spans="1:7" x14ac:dyDescent="0.35">
      <c r="A109" s="58">
        <v>45256</v>
      </c>
      <c r="B109" s="56">
        <v>33.928278413794487</v>
      </c>
      <c r="C109" s="56"/>
      <c r="D109" s="56" t="e">
        <v>#N/A</v>
      </c>
      <c r="E109" s="56"/>
      <c r="F109" s="56" t="e">
        <v>#N/A</v>
      </c>
      <c r="G109"/>
    </row>
    <row r="110" spans="1:7" x14ac:dyDescent="0.35">
      <c r="A110" s="58">
        <v>45263</v>
      </c>
      <c r="B110" s="56">
        <v>169.93545336841208</v>
      </c>
      <c r="C110" s="56"/>
      <c r="D110" s="56" t="e">
        <v>#N/A</v>
      </c>
      <c r="E110" s="56"/>
      <c r="F110" s="56" t="e">
        <v>#N/A</v>
      </c>
      <c r="G110"/>
    </row>
    <row r="111" spans="1:7" x14ac:dyDescent="0.35">
      <c r="A111" s="58">
        <v>45270</v>
      </c>
      <c r="B111" s="56">
        <v>30.962767446880363</v>
      </c>
      <c r="C111" s="56"/>
      <c r="D111" s="56" t="e">
        <v>#N/A</v>
      </c>
      <c r="E111" s="56"/>
      <c r="F111" s="56" t="e">
        <v>#N/A</v>
      </c>
      <c r="G111"/>
    </row>
    <row r="112" spans="1:7" x14ac:dyDescent="0.35">
      <c r="A112" s="58">
        <v>45277</v>
      </c>
      <c r="B112" s="56">
        <v>165.32257632553285</v>
      </c>
      <c r="C112" s="56"/>
      <c r="D112" s="56" t="e">
        <v>#N/A</v>
      </c>
      <c r="E112" s="56"/>
      <c r="F112" s="56" t="e">
        <v>#N/A</v>
      </c>
      <c r="G112"/>
    </row>
    <row r="113" spans="1:7" x14ac:dyDescent="0.35">
      <c r="A113" s="58">
        <v>45284</v>
      </c>
      <c r="B113" s="56">
        <v>75.895296051145436</v>
      </c>
      <c r="C113" s="56"/>
      <c r="D113" s="56" t="e">
        <v>#N/A</v>
      </c>
      <c r="E113" s="56"/>
      <c r="F113" s="56" t="e">
        <v>#N/A</v>
      </c>
      <c r="G113"/>
    </row>
    <row r="114" spans="1:7" x14ac:dyDescent="0.35">
      <c r="A114" s="58">
        <v>45291</v>
      </c>
      <c r="B114" s="56">
        <v>169.5633723166377</v>
      </c>
      <c r="C114" s="56"/>
      <c r="D114" s="56" t="e">
        <v>#N/A</v>
      </c>
      <c r="E114" s="56"/>
      <c r="F114" s="56" t="e">
        <v>#N/A</v>
      </c>
      <c r="G114"/>
    </row>
    <row r="115" spans="1:7" x14ac:dyDescent="0.35">
      <c r="A115" s="58">
        <v>45298</v>
      </c>
      <c r="B115" s="56">
        <v>79.535007153915956</v>
      </c>
      <c r="C115" s="56"/>
      <c r="D115" s="56" t="e">
        <v>#N/A</v>
      </c>
      <c r="E115" s="56"/>
      <c r="F115" s="56" t="e">
        <v>#N/A</v>
      </c>
      <c r="G115"/>
    </row>
    <row r="116" spans="1:7" x14ac:dyDescent="0.35">
      <c r="A116" s="58">
        <v>45305</v>
      </c>
      <c r="B116" s="56">
        <v>34.929022906102588</v>
      </c>
      <c r="C116" s="56"/>
      <c r="D116" s="56" t="e">
        <v>#N/A</v>
      </c>
      <c r="E116" s="56"/>
      <c r="F116" s="56" t="e">
        <v>#N/A</v>
      </c>
      <c r="G116"/>
    </row>
    <row r="117" spans="1:7" x14ac:dyDescent="0.35">
      <c r="A117" s="58">
        <v>45312</v>
      </c>
      <c r="B117" s="56">
        <v>156.43084002317585</v>
      </c>
      <c r="C117" s="56"/>
      <c r="D117" s="56" t="e">
        <v>#N/A</v>
      </c>
      <c r="E117" s="56"/>
      <c r="F117" s="56" t="e">
        <v>#N/A</v>
      </c>
      <c r="G117"/>
    </row>
    <row r="118" spans="1:7" x14ac:dyDescent="0.35">
      <c r="A118" s="58">
        <v>45319</v>
      </c>
      <c r="B118" s="56">
        <v>104.11922598328809</v>
      </c>
      <c r="C118" s="56"/>
      <c r="D118" s="56" t="e">
        <v>#N/A</v>
      </c>
      <c r="E118" s="56"/>
      <c r="F118" s="56" t="e">
        <v>#N/A</v>
      </c>
      <c r="G118"/>
    </row>
    <row r="119" spans="1:7" x14ac:dyDescent="0.35">
      <c r="A119" s="58">
        <v>45326</v>
      </c>
      <c r="B119" s="56">
        <v>192.20088860830657</v>
      </c>
      <c r="C119" s="56"/>
      <c r="D119" s="56" t="e">
        <v>#N/A</v>
      </c>
      <c r="E119" s="56"/>
      <c r="F119" s="56" t="e">
        <v>#N/A</v>
      </c>
      <c r="G119"/>
    </row>
    <row r="120" spans="1:7" x14ac:dyDescent="0.35">
      <c r="A120" s="58">
        <v>45333</v>
      </c>
      <c r="B120" s="56">
        <v>158.96286322641103</v>
      </c>
      <c r="C120" s="56"/>
      <c r="D120" s="56" t="e">
        <v>#N/A</v>
      </c>
      <c r="E120" s="56"/>
      <c r="F120" s="56" t="e">
        <v>#N/A</v>
      </c>
      <c r="G120"/>
    </row>
    <row r="121" spans="1:7" x14ac:dyDescent="0.35">
      <c r="A121" s="58">
        <v>45340</v>
      </c>
      <c r="B121" s="56">
        <v>91.782923809952024</v>
      </c>
      <c r="C121" s="56"/>
      <c r="D121" s="56" t="e">
        <v>#N/A</v>
      </c>
      <c r="E121" s="56"/>
      <c r="F121" s="56" t="e">
        <v>#N/A</v>
      </c>
      <c r="G121"/>
    </row>
    <row r="122" spans="1:7" x14ac:dyDescent="0.35">
      <c r="A122" s="58">
        <v>45347</v>
      </c>
      <c r="B122" s="56">
        <v>78.701032959348964</v>
      </c>
      <c r="C122" s="56"/>
      <c r="D122" s="56" t="e">
        <v>#N/A</v>
      </c>
      <c r="E122" s="56"/>
      <c r="F122" s="56" t="e">
        <v>#N/A</v>
      </c>
      <c r="G122"/>
    </row>
    <row r="123" spans="1:7" x14ac:dyDescent="0.35">
      <c r="A123" s="58">
        <v>45354</v>
      </c>
      <c r="B123" s="56">
        <v>107.27606504995987</v>
      </c>
      <c r="C123" s="56"/>
      <c r="D123" s="56" t="e">
        <v>#N/A</v>
      </c>
      <c r="E123" s="56"/>
      <c r="F123" s="56" t="e">
        <v>#N/A</v>
      </c>
      <c r="G123"/>
    </row>
    <row r="124" spans="1:7" x14ac:dyDescent="0.35">
      <c r="A124" s="58">
        <v>45361</v>
      </c>
      <c r="B124" s="56">
        <v>117.38362791292504</v>
      </c>
      <c r="C124" s="56"/>
      <c r="D124" s="56" t="e">
        <v>#N/A</v>
      </c>
      <c r="E124" s="56"/>
      <c r="F124" s="56" t="e">
        <v>#N/A</v>
      </c>
      <c r="G124"/>
    </row>
    <row r="125" spans="1:7" x14ac:dyDescent="0.35">
      <c r="A125" s="58">
        <v>45368</v>
      </c>
      <c r="B125" s="56">
        <v>53.203593288456453</v>
      </c>
      <c r="C125" s="56"/>
      <c r="D125" s="56" t="e">
        <v>#N/A</v>
      </c>
      <c r="E125" s="56"/>
      <c r="F125" s="56" t="e">
        <v>#N/A</v>
      </c>
      <c r="G125"/>
    </row>
    <row r="126" spans="1:7" x14ac:dyDescent="0.35">
      <c r="A126" s="58">
        <v>45375</v>
      </c>
      <c r="B126" s="56">
        <v>156.90577908090242</v>
      </c>
      <c r="C126" s="56"/>
      <c r="D126" s="56" t="e">
        <v>#N/A</v>
      </c>
      <c r="E126" s="56"/>
      <c r="F126" s="56" t="e">
        <v>#N/A</v>
      </c>
      <c r="G126"/>
    </row>
    <row r="127" spans="1:7" x14ac:dyDescent="0.35">
      <c r="A127" s="58">
        <v>45382</v>
      </c>
      <c r="B127" s="56">
        <v>87.77311831924348</v>
      </c>
      <c r="C127" s="56"/>
      <c r="D127" s="56" t="e">
        <v>#N/A</v>
      </c>
      <c r="E127" s="56"/>
      <c r="F127" s="56" t="e">
        <v>#N/A</v>
      </c>
      <c r="G127"/>
    </row>
    <row r="128" spans="1:7" x14ac:dyDescent="0.35">
      <c r="A128" s="58">
        <v>45389</v>
      </c>
      <c r="B128" s="56">
        <v>84.241464381905999</v>
      </c>
      <c r="C128" s="56"/>
      <c r="D128" s="56" t="e">
        <v>#N/A</v>
      </c>
      <c r="E128" s="56"/>
      <c r="F128" s="56" t="e">
        <v>#N/A</v>
      </c>
      <c r="G128"/>
    </row>
    <row r="129" spans="1:7" x14ac:dyDescent="0.35">
      <c r="A129" s="58">
        <v>45396</v>
      </c>
      <c r="B129" s="56">
        <v>74.332397777209877</v>
      </c>
      <c r="C129" s="56"/>
      <c r="D129" s="56" t="e">
        <v>#N/A</v>
      </c>
      <c r="E129" s="56"/>
      <c r="F129" s="56" t="e">
        <v>#N/A</v>
      </c>
      <c r="G129"/>
    </row>
    <row r="130" spans="1:7" x14ac:dyDescent="0.35">
      <c r="A130" s="58">
        <v>45403</v>
      </c>
      <c r="B130" s="56">
        <v>156.4523252566166</v>
      </c>
      <c r="C130" s="56"/>
      <c r="D130" s="56" t="e">
        <v>#N/A</v>
      </c>
      <c r="E130" s="56"/>
      <c r="F130" s="56" t="e">
        <v>#N/A</v>
      </c>
      <c r="G130"/>
    </row>
    <row r="131" spans="1:7" x14ac:dyDescent="0.35">
      <c r="A131" s="58">
        <v>45410</v>
      </c>
      <c r="B131" s="56">
        <v>82.872549062362765</v>
      </c>
      <c r="C131" s="56"/>
      <c r="D131" s="56" t="e">
        <v>#N/A</v>
      </c>
      <c r="E131" s="56"/>
      <c r="F131" s="56" t="e">
        <v>#N/A</v>
      </c>
      <c r="G131"/>
    </row>
    <row r="132" spans="1:7" x14ac:dyDescent="0.35">
      <c r="A132" s="58">
        <v>45417</v>
      </c>
      <c r="B132" s="56">
        <v>149.62980823774825</v>
      </c>
      <c r="C132" s="56"/>
      <c r="D132" s="56" t="e">
        <v>#N/A</v>
      </c>
      <c r="E132" s="56"/>
      <c r="F132" s="56" t="e">
        <v>#N/A</v>
      </c>
      <c r="G132"/>
    </row>
    <row r="133" spans="1:7" x14ac:dyDescent="0.35">
      <c r="A133" s="58">
        <v>45424</v>
      </c>
      <c r="B133" s="56">
        <v>300.89266087917781</v>
      </c>
      <c r="C133" s="56"/>
      <c r="D133" s="56" t="e">
        <v>#N/A</v>
      </c>
      <c r="E133" s="56"/>
      <c r="F133" s="56" t="e">
        <v>#N/A</v>
      </c>
      <c r="G133"/>
    </row>
    <row r="134" spans="1:7" x14ac:dyDescent="0.35">
      <c r="A134" s="58">
        <v>45431</v>
      </c>
      <c r="B134" s="56">
        <v>129.93601681683379</v>
      </c>
      <c r="C134" s="56"/>
      <c r="D134" s="56" t="e">
        <v>#N/A</v>
      </c>
      <c r="E134" s="56"/>
      <c r="F134" s="56" t="e">
        <v>#N/A</v>
      </c>
      <c r="G134"/>
    </row>
    <row r="135" spans="1:7" x14ac:dyDescent="0.35">
      <c r="A135" s="58">
        <v>45438</v>
      </c>
      <c r="B135" s="56">
        <v>106.1783396594937</v>
      </c>
      <c r="C135" s="56"/>
      <c r="D135" s="56" t="e">
        <v>#N/A</v>
      </c>
      <c r="E135" s="56"/>
      <c r="F135" s="56" t="e">
        <v>#N/A</v>
      </c>
      <c r="G135"/>
    </row>
    <row r="136" spans="1:7" x14ac:dyDescent="0.35">
      <c r="A136" s="58">
        <v>45445</v>
      </c>
      <c r="B136" s="56">
        <v>31.156109669111984</v>
      </c>
      <c r="C136" s="56"/>
      <c r="D136" s="56" t="e">
        <v>#N/A</v>
      </c>
      <c r="E136" s="56"/>
      <c r="F136" s="56" t="e">
        <v>#N/A</v>
      </c>
      <c r="G136"/>
    </row>
    <row r="137" spans="1:7" x14ac:dyDescent="0.35">
      <c r="A137" s="58">
        <v>45452</v>
      </c>
      <c r="B137" s="56">
        <v>131.94442702282569</v>
      </c>
      <c r="C137" s="56"/>
      <c r="D137" s="56" t="e">
        <v>#N/A</v>
      </c>
      <c r="E137" s="56"/>
      <c r="F137" s="56" t="e">
        <v>#N/A</v>
      </c>
      <c r="G137"/>
    </row>
    <row r="138" spans="1:7" x14ac:dyDescent="0.35">
      <c r="A138" s="58">
        <v>45459</v>
      </c>
      <c r="B138" s="56">
        <v>64.660722534974809</v>
      </c>
      <c r="C138" s="56"/>
      <c r="D138" s="56" t="e">
        <v>#N/A</v>
      </c>
      <c r="E138" s="56"/>
      <c r="F138" s="56" t="e">
        <v>#N/A</v>
      </c>
      <c r="G138"/>
    </row>
    <row r="139" spans="1:7" x14ac:dyDescent="0.35">
      <c r="A139" s="58">
        <v>45466</v>
      </c>
      <c r="B139" s="56">
        <v>100.9083300369209</v>
      </c>
      <c r="C139" s="56"/>
      <c r="D139" s="56" t="e">
        <v>#N/A</v>
      </c>
      <c r="E139" s="56"/>
      <c r="F139" s="56" t="e">
        <v>#N/A</v>
      </c>
      <c r="G139"/>
    </row>
    <row r="140" spans="1:7" x14ac:dyDescent="0.35">
      <c r="A140" s="58">
        <v>45473</v>
      </c>
      <c r="B140" s="56">
        <v>121.34320996033865</v>
      </c>
      <c r="C140" s="56"/>
      <c r="D140" s="56" t="e">
        <v>#N/A</v>
      </c>
      <c r="E140" s="56"/>
      <c r="F140" s="56" t="e">
        <v>#N/A</v>
      </c>
      <c r="G140"/>
    </row>
    <row r="141" spans="1:7" x14ac:dyDescent="0.35">
      <c r="A141" s="58">
        <v>45480</v>
      </c>
      <c r="B141" s="56">
        <v>5.9073782210628423</v>
      </c>
      <c r="C141" s="56"/>
      <c r="D141" s="56" t="e">
        <v>#N/A</v>
      </c>
      <c r="E141" s="56"/>
      <c r="F141" s="56" t="e">
        <v>#N/A</v>
      </c>
      <c r="G141"/>
    </row>
    <row r="142" spans="1:7" x14ac:dyDescent="0.35">
      <c r="A142" s="58">
        <v>45487</v>
      </c>
      <c r="B142" s="56">
        <v>118.90308317371932</v>
      </c>
      <c r="C142" s="56"/>
      <c r="D142" s="56" t="e">
        <v>#N/A</v>
      </c>
      <c r="E142" s="56"/>
      <c r="F142" s="56" t="e">
        <v>#N/A</v>
      </c>
      <c r="G142"/>
    </row>
    <row r="143" spans="1:7" x14ac:dyDescent="0.35">
      <c r="A143" s="58">
        <v>45494</v>
      </c>
      <c r="B143" s="56">
        <v>127.84333103664295</v>
      </c>
      <c r="C143" s="56"/>
      <c r="D143" s="56" t="e">
        <v>#N/A</v>
      </c>
      <c r="E143" s="56"/>
      <c r="F143" s="56" t="e">
        <v>#N/A</v>
      </c>
      <c r="G143"/>
    </row>
    <row r="144" spans="1:7" x14ac:dyDescent="0.35">
      <c r="A144" s="58">
        <v>45501</v>
      </c>
      <c r="B144" s="56">
        <v>32.823515812114465</v>
      </c>
      <c r="C144" s="56"/>
      <c r="D144" s="56" t="e">
        <v>#N/A</v>
      </c>
      <c r="E144" s="56"/>
      <c r="F144" s="56" t="e">
        <v>#N/A</v>
      </c>
      <c r="G144"/>
    </row>
    <row r="145" spans="1:7" x14ac:dyDescent="0.35">
      <c r="A145" s="58">
        <v>45508</v>
      </c>
      <c r="B145" s="56">
        <v>88.072221372285725</v>
      </c>
      <c r="C145" s="56"/>
      <c r="D145" s="56" t="e">
        <v>#N/A</v>
      </c>
      <c r="E145" s="56"/>
      <c r="F145" s="56" t="e">
        <v>#N/A</v>
      </c>
      <c r="G145"/>
    </row>
    <row r="146" spans="1:7" x14ac:dyDescent="0.35">
      <c r="A146" s="58">
        <v>45515</v>
      </c>
      <c r="B146" s="56">
        <v>3.8188954926357894</v>
      </c>
      <c r="C146" s="56"/>
      <c r="D146" s="56" t="e">
        <v>#N/A</v>
      </c>
      <c r="E146" s="56"/>
      <c r="F146" s="56" t="e">
        <v>#N/A</v>
      </c>
      <c r="G146"/>
    </row>
    <row r="147" spans="1:7" x14ac:dyDescent="0.35">
      <c r="A147" s="58">
        <v>45522</v>
      </c>
      <c r="B147" s="56">
        <v>206.80923471806256</v>
      </c>
      <c r="C147" s="56"/>
      <c r="D147" s="56" t="e">
        <v>#N/A</v>
      </c>
      <c r="E147" s="56"/>
      <c r="F147" s="56" t="e">
        <v>#N/A</v>
      </c>
      <c r="G147"/>
    </row>
    <row r="148" spans="1:7" x14ac:dyDescent="0.35">
      <c r="A148" s="58">
        <v>45529</v>
      </c>
      <c r="B148" s="56">
        <v>131.55955667734253</v>
      </c>
      <c r="C148" s="56"/>
      <c r="D148" s="56" t="e">
        <v>#N/A</v>
      </c>
      <c r="E148" s="56"/>
      <c r="F148" s="56" t="e">
        <v>#N/A</v>
      </c>
      <c r="G148"/>
    </row>
    <row r="149" spans="1:7" x14ac:dyDescent="0.35">
      <c r="A149" s="58">
        <v>45536</v>
      </c>
      <c r="B149" s="56">
        <v>107.3854059338625</v>
      </c>
      <c r="C149" s="56"/>
      <c r="D149" s="56" t="e">
        <v>#N/A</v>
      </c>
      <c r="E149" s="56"/>
      <c r="F149" s="56" t="e">
        <v>#N/A</v>
      </c>
      <c r="G149"/>
    </row>
    <row r="150" spans="1:7" x14ac:dyDescent="0.35">
      <c r="A150" s="58">
        <v>45543</v>
      </c>
      <c r="B150" s="56">
        <v>115.9958065444079</v>
      </c>
      <c r="C150" s="56"/>
      <c r="D150" s="56" t="e">
        <v>#N/A</v>
      </c>
      <c r="E150" s="56"/>
      <c r="F150" s="56" t="e">
        <v>#N/A</v>
      </c>
      <c r="G150"/>
    </row>
    <row r="151" spans="1:7" x14ac:dyDescent="0.35">
      <c r="A151" s="58">
        <v>45550</v>
      </c>
      <c r="B151" s="56">
        <v>191.16739519060189</v>
      </c>
      <c r="C151" s="56"/>
      <c r="D151" s="56" t="e">
        <v>#N/A</v>
      </c>
      <c r="E151" s="56"/>
      <c r="F151" s="56" t="e">
        <v>#N/A</v>
      </c>
      <c r="G151"/>
    </row>
    <row r="152" spans="1:7" x14ac:dyDescent="0.35">
      <c r="A152" s="58">
        <v>45557</v>
      </c>
      <c r="B152" s="56">
        <v>123.7227230241885</v>
      </c>
      <c r="C152" s="56"/>
      <c r="D152" s="56" t="e">
        <v>#N/A</v>
      </c>
      <c r="E152" s="56"/>
      <c r="F152" s="56" t="e">
        <v>#N/A</v>
      </c>
      <c r="G152"/>
    </row>
    <row r="153" spans="1:7" x14ac:dyDescent="0.35">
      <c r="A153" s="58">
        <v>45564</v>
      </c>
      <c r="B153" s="56">
        <v>141.65248810546652</v>
      </c>
      <c r="C153" s="56"/>
      <c r="D153" s="56" t="e">
        <v>#N/A</v>
      </c>
      <c r="E153" s="56"/>
      <c r="F153" s="56" t="e">
        <v>#N/A</v>
      </c>
      <c r="G153"/>
    </row>
    <row r="154" spans="1:7" x14ac:dyDescent="0.35">
      <c r="A154" s="58">
        <v>45571</v>
      </c>
      <c r="B154" s="56">
        <v>213.62724306997944</v>
      </c>
      <c r="C154" s="56"/>
      <c r="D154" s="56" t="e">
        <v>#N/A</v>
      </c>
      <c r="E154" s="56"/>
      <c r="F154" s="56" t="e">
        <v>#N/A</v>
      </c>
      <c r="G154"/>
    </row>
    <row r="155" spans="1:7" x14ac:dyDescent="0.35">
      <c r="A155" s="58">
        <v>45578</v>
      </c>
      <c r="B155" s="56">
        <v>94.739592533578659</v>
      </c>
      <c r="C155" s="56"/>
      <c r="D155" s="56" t="e">
        <v>#N/A</v>
      </c>
      <c r="E155" s="56"/>
      <c r="F155" s="56" t="e">
        <v>#N/A</v>
      </c>
      <c r="G155"/>
    </row>
    <row r="156" spans="1:7" x14ac:dyDescent="0.35">
      <c r="A156" s="58">
        <v>45585</v>
      </c>
      <c r="B156" s="56">
        <v>58.958838410013016</v>
      </c>
      <c r="C156" s="56"/>
      <c r="D156" s="56" t="e">
        <v>#N/A</v>
      </c>
      <c r="E156" s="56"/>
      <c r="F156" s="56" t="e">
        <v>#N/A</v>
      </c>
      <c r="G156"/>
    </row>
    <row r="157" spans="1:7" x14ac:dyDescent="0.35">
      <c r="A157" s="58">
        <v>45592</v>
      </c>
      <c r="B157" s="56">
        <v>74.817497506702097</v>
      </c>
      <c r="C157" s="56"/>
      <c r="D157" s="56" t="e">
        <v>#N/A</v>
      </c>
      <c r="E157" s="56"/>
      <c r="F157" s="56" t="e">
        <v>#N/A</v>
      </c>
    </row>
    <row r="158" spans="1:7" x14ac:dyDescent="0.35">
      <c r="A158" s="58">
        <v>45599</v>
      </c>
      <c r="B158" s="56">
        <v>211.51315189827523</v>
      </c>
      <c r="C158" s="56"/>
      <c r="D158" s="56" t="e">
        <v>#N/A</v>
      </c>
      <c r="E158" s="56"/>
      <c r="F158" s="56" t="e">
        <v>#N/A</v>
      </c>
    </row>
    <row r="159" spans="1:7" x14ac:dyDescent="0.35">
      <c r="A159" s="58">
        <v>45606</v>
      </c>
      <c r="B159" s="56">
        <v>123.21417774941187</v>
      </c>
      <c r="C159" s="56"/>
      <c r="D159" s="56" t="e">
        <v>#N/A</v>
      </c>
      <c r="E159" s="56"/>
      <c r="F159" s="56" t="e">
        <v>#N/A</v>
      </c>
    </row>
    <row r="160" spans="1:7" x14ac:dyDescent="0.35">
      <c r="A160" s="58">
        <v>45613</v>
      </c>
      <c r="B160" s="56">
        <v>102.12165830587477</v>
      </c>
      <c r="C160" s="56"/>
      <c r="D160" s="56" t="e">
        <v>#N/A</v>
      </c>
      <c r="E160" s="56"/>
      <c r="F160" s="56" t="e">
        <v>#N/A</v>
      </c>
    </row>
    <row r="161" spans="1:6" x14ac:dyDescent="0.35">
      <c r="A161" s="58">
        <v>45620</v>
      </c>
      <c r="B161" s="56">
        <v>175.81964095231592</v>
      </c>
      <c r="C161" s="56"/>
      <c r="D161" s="56" t="e">
        <v>#N/A</v>
      </c>
      <c r="E161" s="56"/>
      <c r="F161" s="56" t="e">
        <v>#N/A</v>
      </c>
    </row>
    <row r="162" spans="1:6" x14ac:dyDescent="0.35">
      <c r="A162" s="58">
        <v>45627</v>
      </c>
      <c r="B162" s="56">
        <v>176.61054787840527</v>
      </c>
      <c r="C162" s="56"/>
      <c r="D162" s="56" t="e">
        <v>#N/A</v>
      </c>
      <c r="E162" s="56"/>
      <c r="F162" s="56" t="e">
        <v>#N/A</v>
      </c>
    </row>
    <row r="163" spans="1:6" x14ac:dyDescent="0.35">
      <c r="A163" s="58">
        <v>45634</v>
      </c>
      <c r="B163" s="56">
        <v>88.455743905649001</v>
      </c>
      <c r="C163" s="56"/>
      <c r="D163" s="56" t="e">
        <v>#N/A</v>
      </c>
      <c r="E163" s="56"/>
      <c r="F163" s="56" t="e">
        <v>#N/A</v>
      </c>
    </row>
    <row r="164" spans="1:6" x14ac:dyDescent="0.35">
      <c r="A164" s="58">
        <v>45641</v>
      </c>
      <c r="B164" s="56">
        <v>57.89534184217711</v>
      </c>
      <c r="C164" s="56"/>
      <c r="D164" s="56" t="e">
        <v>#N/A</v>
      </c>
      <c r="E164" s="56"/>
      <c r="F164" s="56" t="e">
        <v>#N/A</v>
      </c>
    </row>
    <row r="165" spans="1:6" x14ac:dyDescent="0.35">
      <c r="A165" s="58">
        <v>45648</v>
      </c>
      <c r="B165" s="56">
        <v>22.285342312150235</v>
      </c>
      <c r="C165" s="56"/>
      <c r="D165" s="56" t="e">
        <v>#N/A</v>
      </c>
      <c r="E165" s="56"/>
      <c r="F165" s="56" t="e">
        <v>#N/A</v>
      </c>
    </row>
    <row r="166" spans="1:6" x14ac:dyDescent="0.35">
      <c r="A166" s="58">
        <v>45655</v>
      </c>
      <c r="B166" s="56">
        <v>9.0932304560080297</v>
      </c>
      <c r="C166" s="56"/>
      <c r="D166" s="56" t="e">
        <v>#N/A</v>
      </c>
      <c r="E166" s="56"/>
      <c r="F166" s="56" t="e">
        <v>#N/A</v>
      </c>
    </row>
    <row r="167" spans="1:6" x14ac:dyDescent="0.35">
      <c r="A167" s="58">
        <v>45662</v>
      </c>
      <c r="B167" s="56"/>
      <c r="C167" s="56">
        <v>100.56998699670685</v>
      </c>
      <c r="D167" s="56">
        <v>104.11024896495712</v>
      </c>
      <c r="E167" s="56">
        <v>107.70431698398198</v>
      </c>
      <c r="F167" s="56">
        <v>135.75189776056123</v>
      </c>
    </row>
    <row r="168" spans="1:6" x14ac:dyDescent="0.35">
      <c r="A168" s="58">
        <v>45669</v>
      </c>
      <c r="B168" s="56"/>
      <c r="C168" s="56">
        <v>63.271371398406423</v>
      </c>
      <c r="D168" s="56">
        <v>15.351150268197316</v>
      </c>
      <c r="E168" s="56">
        <v>66.041721607044025</v>
      </c>
      <c r="F168" s="56">
        <v>124.69531864463683</v>
      </c>
    </row>
    <row r="169" spans="1:6" x14ac:dyDescent="0.35">
      <c r="A169" s="58">
        <v>45676</v>
      </c>
      <c r="B169" s="56"/>
      <c r="C169" s="56">
        <v>228.77510384410752</v>
      </c>
      <c r="D169" s="56">
        <v>32.336698528161584</v>
      </c>
      <c r="E169" s="56">
        <v>98.979849789032073</v>
      </c>
      <c r="F169" s="56">
        <v>86.31174398459541</v>
      </c>
    </row>
    <row r="170" spans="1:6" x14ac:dyDescent="0.35">
      <c r="A170" s="58">
        <v>45683</v>
      </c>
      <c r="B170" s="56"/>
      <c r="C170" s="56">
        <v>121.19221914747791</v>
      </c>
      <c r="D170" s="56">
        <v>180.84351734704947</v>
      </c>
      <c r="E170" s="56">
        <v>206.80347756912036</v>
      </c>
      <c r="F170" s="56">
        <v>44.432414628996099</v>
      </c>
    </row>
    <row r="171" spans="1:6" x14ac:dyDescent="0.35">
      <c r="A171" s="58">
        <v>45690</v>
      </c>
      <c r="B171" s="56"/>
      <c r="C171" s="56">
        <v>1.5743470324030682</v>
      </c>
      <c r="D171" s="56">
        <v>77.456687285594214</v>
      </c>
      <c r="E171" s="56">
        <v>122.16377410822599</v>
      </c>
      <c r="F171" s="56">
        <v>47.46097540176055</v>
      </c>
    </row>
    <row r="172" spans="1:6" x14ac:dyDescent="0.35">
      <c r="A172" s="58">
        <v>45697</v>
      </c>
      <c r="B172" s="56"/>
      <c r="C172" s="56">
        <v>203.66093926450941</v>
      </c>
      <c r="D172" s="56">
        <v>61.662092380378667</v>
      </c>
      <c r="E172" s="56">
        <v>112.86450609326664</v>
      </c>
      <c r="F172" s="56">
        <v>48.804982790817881</v>
      </c>
    </row>
    <row r="173" spans="1:6" x14ac:dyDescent="0.35">
      <c r="A173" s="58">
        <v>45704</v>
      </c>
      <c r="B173" s="56"/>
      <c r="C173" s="56">
        <v>128.68419077192397</v>
      </c>
      <c r="D173" s="56">
        <v>75.465328836250862</v>
      </c>
      <c r="E173" s="56">
        <v>62.517080700515685</v>
      </c>
      <c r="F173" s="56">
        <v>100.4274231738072</v>
      </c>
    </row>
    <row r="174" spans="1:6" x14ac:dyDescent="0.35">
      <c r="A174" s="58">
        <v>45711</v>
      </c>
      <c r="B174" s="56"/>
      <c r="C174" s="56">
        <v>161.73518487670859</v>
      </c>
      <c r="D174" s="56">
        <v>112.58085210067034</v>
      </c>
      <c r="E174" s="56">
        <v>126.43224450227142</v>
      </c>
      <c r="F174" s="56">
        <v>128.45217034667468</v>
      </c>
    </row>
    <row r="175" spans="1:6" x14ac:dyDescent="0.35">
      <c r="A175" s="58">
        <v>45718</v>
      </c>
      <c r="B175" s="56"/>
      <c r="C175" s="56">
        <v>160.82615554265871</v>
      </c>
      <c r="D175" s="56">
        <v>45.719819516109766</v>
      </c>
      <c r="E175" s="56">
        <v>80.686848577983667</v>
      </c>
      <c r="F175" s="56">
        <v>103.70326035559874</v>
      </c>
    </row>
    <row r="176" spans="1:6" x14ac:dyDescent="0.35">
      <c r="A176" s="58">
        <v>45725</v>
      </c>
      <c r="B176" s="56"/>
      <c r="C176" s="56">
        <v>138.47636898049785</v>
      </c>
      <c r="D176" s="56">
        <v>121.54802392616413</v>
      </c>
      <c r="E176" s="56">
        <v>119.61657985134617</v>
      </c>
      <c r="F176" s="56">
        <v>138.80065232212448</v>
      </c>
    </row>
    <row r="177" spans="1:6" x14ac:dyDescent="0.35">
      <c r="A177" s="58">
        <v>45732</v>
      </c>
      <c r="B177" s="56"/>
      <c r="C177" s="56">
        <v>152.27207993759663</v>
      </c>
      <c r="D177" s="56">
        <v>30.696971047990637</v>
      </c>
      <c r="E177" s="56">
        <v>59.224409182287602</v>
      </c>
      <c r="F177" s="56">
        <v>113.77792405407858</v>
      </c>
    </row>
    <row r="178" spans="1:6" x14ac:dyDescent="0.35">
      <c r="A178" s="58">
        <v>45739</v>
      </c>
      <c r="B178" s="56"/>
      <c r="C178" s="56">
        <v>137.33014786320715</v>
      </c>
      <c r="D178" s="56">
        <v>162.02081242579231</v>
      </c>
      <c r="E178" s="56">
        <v>145.57274273913396</v>
      </c>
      <c r="F178" s="56">
        <v>123.91366548638626</v>
      </c>
    </row>
    <row r="179" spans="1:6" x14ac:dyDescent="0.35">
      <c r="A179" s="58">
        <v>45746</v>
      </c>
      <c r="B179" s="56"/>
      <c r="C179" s="56">
        <v>56.309114857608265</v>
      </c>
      <c r="D179" s="56">
        <v>46.857959785986097</v>
      </c>
      <c r="E179" s="56">
        <v>81.540449675917387</v>
      </c>
      <c r="F179" s="56">
        <v>163.72661761395017</v>
      </c>
    </row>
    <row r="180" spans="1:6" x14ac:dyDescent="0.35">
      <c r="A180" s="58">
        <v>45753</v>
      </c>
      <c r="B180" s="56"/>
      <c r="C180" s="56">
        <v>147.43391627659702</v>
      </c>
      <c r="D180" s="56">
        <v>188.76557588923657</v>
      </c>
      <c r="E180" s="56">
        <v>134.57217272044355</v>
      </c>
      <c r="F180" s="56">
        <v>147.43047504294731</v>
      </c>
    </row>
    <row r="181" spans="1:6" x14ac:dyDescent="0.35">
      <c r="A181" s="58">
        <v>45760</v>
      </c>
      <c r="B181" s="56"/>
      <c r="C181" s="56">
        <v>199.73229943405818</v>
      </c>
      <c r="D181" s="56">
        <v>110.68281099263535</v>
      </c>
      <c r="E181" s="56">
        <v>106.10128831790698</v>
      </c>
      <c r="F181" s="56">
        <v>153.32744733436544</v>
      </c>
    </row>
    <row r="182" spans="1:6" x14ac:dyDescent="0.35">
      <c r="A182" s="58">
        <v>45767</v>
      </c>
      <c r="B182" s="56"/>
      <c r="C182" s="56">
        <v>121.91668154250699</v>
      </c>
      <c r="D182" s="56">
        <v>70.113072396579781</v>
      </c>
      <c r="E182" s="56">
        <v>118.39036195049225</v>
      </c>
      <c r="F182" s="56">
        <v>147.22618808099008</v>
      </c>
    </row>
    <row r="183" spans="1:6" x14ac:dyDescent="0.35">
      <c r="A183" s="58">
        <v>45774</v>
      </c>
      <c r="B183" s="56"/>
      <c r="C183" s="56">
        <v>184.93383714804719</v>
      </c>
      <c r="D183" s="56">
        <v>191.47953027954159</v>
      </c>
      <c r="E183" s="56">
        <v>130.76540555551935</v>
      </c>
      <c r="F183" s="56">
        <v>121.09692790972747</v>
      </c>
    </row>
    <row r="184" spans="1:6" x14ac:dyDescent="0.35">
      <c r="A184" s="58">
        <v>45781</v>
      </c>
      <c r="B184" s="56"/>
      <c r="C184" s="56">
        <v>167.52268897742539</v>
      </c>
      <c r="D184" s="56">
        <v>39.396220610891532</v>
      </c>
      <c r="E184" s="56">
        <v>132.24061789746287</v>
      </c>
      <c r="F184" s="56">
        <v>123.33631473375227</v>
      </c>
    </row>
    <row r="185" spans="1:6" x14ac:dyDescent="0.35">
      <c r="A185" s="58">
        <v>45788</v>
      </c>
      <c r="B185" s="56"/>
      <c r="C185" s="56">
        <v>253.54069458268509</v>
      </c>
      <c r="D185" s="56">
        <v>98.498339940065918</v>
      </c>
      <c r="E185" s="56">
        <v>196.40941245185707</v>
      </c>
      <c r="F185" s="56">
        <v>135.20136960786766</v>
      </c>
    </row>
    <row r="186" spans="1:6" x14ac:dyDescent="0.35">
      <c r="A186" s="58">
        <v>45795</v>
      </c>
      <c r="B186" s="56"/>
      <c r="C186" s="56">
        <v>124.92264520705429</v>
      </c>
      <c r="D186" s="56">
        <v>144.50388838627285</v>
      </c>
      <c r="E186" s="56">
        <v>159.25274114000334</v>
      </c>
      <c r="F186" s="56">
        <v>131.34800302769261</v>
      </c>
    </row>
    <row r="187" spans="1:6" x14ac:dyDescent="0.35">
      <c r="A187" s="58">
        <v>45802</v>
      </c>
      <c r="B187" s="56"/>
      <c r="C187" s="56">
        <v>131.80339689081902</v>
      </c>
      <c r="D187" s="56">
        <v>122.9767844099545</v>
      </c>
      <c r="E187" s="56">
        <v>113.35920485629855</v>
      </c>
      <c r="F187" s="56">
        <v>163.50418360030233</v>
      </c>
    </row>
    <row r="188" spans="1:6" x14ac:dyDescent="0.35">
      <c r="A188" s="58">
        <v>45809</v>
      </c>
      <c r="B188" s="56"/>
      <c r="C188" s="56">
        <v>136.2826869864561</v>
      </c>
      <c r="D188" s="56">
        <v>4.8040699197675565</v>
      </c>
      <c r="E188" s="56">
        <v>89.042272645791329</v>
      </c>
      <c r="F188" s="56">
        <v>168.52637677550945</v>
      </c>
    </row>
    <row r="189" spans="1:6" x14ac:dyDescent="0.35">
      <c r="A189" s="58">
        <v>45816</v>
      </c>
      <c r="B189" s="56"/>
      <c r="C189" s="56">
        <v>139.28592952046685</v>
      </c>
      <c r="D189" s="56">
        <v>55.596284816853469</v>
      </c>
      <c r="E189" s="56">
        <v>132.76600355010152</v>
      </c>
      <c r="F189" s="56">
        <v>181.97847556266618</v>
      </c>
    </row>
    <row r="190" spans="1:6" x14ac:dyDescent="0.35">
      <c r="A190" s="58">
        <v>45823</v>
      </c>
      <c r="B190" s="56"/>
      <c r="C190" s="56">
        <v>16.820500064940859</v>
      </c>
      <c r="D190" s="56">
        <v>146.87886003054552</v>
      </c>
      <c r="E190" s="56">
        <v>114.527613469128</v>
      </c>
      <c r="F190" s="56">
        <v>182.72996647880299</v>
      </c>
    </row>
    <row r="191" spans="1:6" x14ac:dyDescent="0.35">
      <c r="A191" s="58">
        <v>45830</v>
      </c>
      <c r="B191" s="56"/>
      <c r="C191" s="56">
        <v>103.07074599538623</v>
      </c>
      <c r="D191" s="56">
        <v>39.312406265872021</v>
      </c>
      <c r="E191" s="56">
        <v>121.63418437587974</v>
      </c>
      <c r="F191" s="56">
        <v>169.44735641449594</v>
      </c>
    </row>
    <row r="192" spans="1:6" x14ac:dyDescent="0.35">
      <c r="A192" s="58">
        <v>45837</v>
      </c>
      <c r="B192" s="56"/>
      <c r="C192" s="56">
        <v>178.49291026738157</v>
      </c>
      <c r="D192" s="56">
        <v>132.68662602109268</v>
      </c>
      <c r="E192" s="56">
        <v>134.42549843209525</v>
      </c>
      <c r="F192" s="56">
        <v>161.63735591675362</v>
      </c>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29697"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9698" r:id="rId6" name="Upd_Button">
              <controlPr defaultSize="0" print="0" autoFill="0" autoPict="0" macro="[0]!Upd_ets_test_and_training_char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F966C-D5FA-4C48-AC17-7DAF5A6CFE70}">
  <sheetPr codeName="Sheet1"/>
  <dimension ref="A1:D157"/>
  <sheetViews>
    <sheetView workbookViewId="0"/>
  </sheetViews>
  <sheetFormatPr defaultRowHeight="14.5" x14ac:dyDescent="0.35"/>
  <cols>
    <col min="1" max="1" width="23.81640625" bestFit="1" customWidth="1"/>
    <col min="2" max="2" width="10.08984375" bestFit="1" customWidth="1"/>
    <col min="3" max="3" width="18.08984375" bestFit="1" customWidth="1"/>
    <col min="4" max="4" width="20.453125" bestFit="1" customWidth="1"/>
  </cols>
  <sheetData>
    <row r="1" spans="1:4" x14ac:dyDescent="0.35">
      <c r="A1" t="s">
        <v>148</v>
      </c>
      <c r="B1" t="s">
        <v>149</v>
      </c>
      <c r="C1" t="s">
        <v>152</v>
      </c>
      <c r="D1" t="s">
        <v>162</v>
      </c>
    </row>
    <row r="2" spans="1:4" x14ac:dyDescent="0.35">
      <c r="A2" s="56" t="s">
        <v>172</v>
      </c>
      <c r="B2" s="58">
        <v>45662</v>
      </c>
      <c r="C2">
        <v>102.1606699896931</v>
      </c>
      <c r="D2">
        <v>100.00000000000003</v>
      </c>
    </row>
    <row r="3" spans="1:4" x14ac:dyDescent="0.35">
      <c r="A3" s="56" t="s">
        <v>172</v>
      </c>
      <c r="B3" s="58">
        <v>45669</v>
      </c>
      <c r="C3">
        <v>102.16652420090173</v>
      </c>
      <c r="D3">
        <v>102.41073360510647</v>
      </c>
    </row>
    <row r="4" spans="1:4" x14ac:dyDescent="0.35">
      <c r="A4" s="56" t="s">
        <v>172</v>
      </c>
      <c r="B4" s="58">
        <v>45676</v>
      </c>
      <c r="C4">
        <v>102.17134052502657</v>
      </c>
      <c r="D4">
        <v>104.78631328575116</v>
      </c>
    </row>
    <row r="5" spans="1:4" x14ac:dyDescent="0.35">
      <c r="A5" s="56" t="s">
        <v>172</v>
      </c>
      <c r="B5" s="58">
        <v>45683</v>
      </c>
      <c r="C5">
        <v>102.17613002710898</v>
      </c>
      <c r="D5">
        <v>107.0920977408507</v>
      </c>
    </row>
    <row r="6" spans="1:4" x14ac:dyDescent="0.35">
      <c r="A6" s="56" t="s">
        <v>172</v>
      </c>
      <c r="B6" s="58">
        <v>45690</v>
      </c>
      <c r="C6">
        <v>102.17841452742478</v>
      </c>
      <c r="D6">
        <v>109.29446344087538</v>
      </c>
    </row>
    <row r="7" spans="1:4" x14ac:dyDescent="0.35">
      <c r="A7" s="56" t="s">
        <v>172</v>
      </c>
      <c r="B7" s="58">
        <v>45697</v>
      </c>
      <c r="C7">
        <v>102.18607684110169</v>
      </c>
      <c r="D7">
        <v>111.3612949346231</v>
      </c>
    </row>
    <row r="8" spans="1:4" x14ac:dyDescent="0.35">
      <c r="A8" s="56" t="s">
        <v>172</v>
      </c>
      <c r="B8" s="58">
        <v>45704</v>
      </c>
      <c r="C8">
        <v>102.23584099241447</v>
      </c>
      <c r="D8">
        <v>113.26245316481591</v>
      </c>
    </row>
    <row r="9" spans="1:4" x14ac:dyDescent="0.35">
      <c r="A9" s="56" t="s">
        <v>172</v>
      </c>
      <c r="B9" s="58">
        <v>45711</v>
      </c>
      <c r="C9">
        <v>102.18615491791191</v>
      </c>
      <c r="D9">
        <v>114.97021496342201</v>
      </c>
    </row>
    <row r="10" spans="1:4" x14ac:dyDescent="0.35">
      <c r="A10" s="56" t="s">
        <v>172</v>
      </c>
      <c r="B10" s="58">
        <v>45718</v>
      </c>
      <c r="C10">
        <v>102.22366705929876</v>
      </c>
      <c r="D10">
        <v>116.45967731787312</v>
      </c>
    </row>
    <row r="11" spans="1:4" x14ac:dyDescent="0.35">
      <c r="A11" s="56" t="s">
        <v>172</v>
      </c>
      <c r="B11" s="58">
        <v>45725</v>
      </c>
      <c r="C11">
        <v>102.27642819432702</v>
      </c>
      <c r="D11">
        <v>117.70912051306422</v>
      </c>
    </row>
    <row r="12" spans="1:4" x14ac:dyDescent="0.35">
      <c r="A12" s="56" t="s">
        <v>172</v>
      </c>
      <c r="B12" s="58">
        <v>45732</v>
      </c>
      <c r="C12">
        <v>102.3242675376423</v>
      </c>
      <c r="D12">
        <v>118.70032485370831</v>
      </c>
    </row>
    <row r="13" spans="1:4" x14ac:dyDescent="0.35">
      <c r="A13" s="56" t="s">
        <v>172</v>
      </c>
      <c r="B13" s="58">
        <v>45739</v>
      </c>
      <c r="C13">
        <v>103.7719763810578</v>
      </c>
      <c r="D13">
        <v>119.41883634852104</v>
      </c>
    </row>
    <row r="14" spans="1:4" x14ac:dyDescent="0.35">
      <c r="A14" s="56" t="s">
        <v>172</v>
      </c>
      <c r="B14" s="58">
        <v>45746</v>
      </c>
      <c r="C14">
        <v>103.94430197245691</v>
      </c>
      <c r="D14">
        <v>119.85417748196107</v>
      </c>
    </row>
    <row r="15" spans="1:4" x14ac:dyDescent="0.35">
      <c r="A15" s="56" t="s">
        <v>172</v>
      </c>
      <c r="B15" s="58">
        <v>45753</v>
      </c>
      <c r="C15">
        <v>105.10799518610477</v>
      </c>
      <c r="D15">
        <v>120.00000000000003</v>
      </c>
    </row>
    <row r="16" spans="1:4" x14ac:dyDescent="0.35">
      <c r="A16" s="56" t="s">
        <v>172</v>
      </c>
      <c r="B16" s="58">
        <v>45760</v>
      </c>
      <c r="C16">
        <v>105.69588088562406</v>
      </c>
      <c r="D16">
        <v>119.85417748196109</v>
      </c>
    </row>
    <row r="17" spans="1:4" x14ac:dyDescent="0.35">
      <c r="A17" s="56" t="s">
        <v>172</v>
      </c>
      <c r="B17" s="58">
        <v>45767</v>
      </c>
      <c r="C17">
        <v>121.25430522553475</v>
      </c>
      <c r="D17">
        <v>119.41883634852107</v>
      </c>
    </row>
    <row r="18" spans="1:4" x14ac:dyDescent="0.35">
      <c r="A18" s="56" t="s">
        <v>172</v>
      </c>
      <c r="B18" s="58">
        <v>45774</v>
      </c>
      <c r="C18">
        <v>117.18750996978955</v>
      </c>
      <c r="D18">
        <v>118.70032485370834</v>
      </c>
    </row>
    <row r="19" spans="1:4" x14ac:dyDescent="0.35">
      <c r="A19" s="56" t="s">
        <v>172</v>
      </c>
      <c r="B19" s="58">
        <v>45781</v>
      </c>
      <c r="C19">
        <v>118.13202624683875</v>
      </c>
      <c r="D19">
        <v>117.70912051306424</v>
      </c>
    </row>
    <row r="20" spans="1:4" x14ac:dyDescent="0.35">
      <c r="A20" s="56" t="s">
        <v>172</v>
      </c>
      <c r="B20" s="58">
        <v>45788</v>
      </c>
      <c r="C20">
        <v>121.68692047978173</v>
      </c>
      <c r="D20">
        <v>116.45967731787314</v>
      </c>
    </row>
    <row r="21" spans="1:4" x14ac:dyDescent="0.35">
      <c r="A21" s="56" t="s">
        <v>172</v>
      </c>
      <c r="B21" s="58">
        <v>45795</v>
      </c>
      <c r="C21">
        <v>129.72613061113665</v>
      </c>
      <c r="D21">
        <v>114.97021496342205</v>
      </c>
    </row>
    <row r="22" spans="1:4" x14ac:dyDescent="0.35">
      <c r="A22" s="56" t="s">
        <v>172</v>
      </c>
      <c r="B22" s="58">
        <v>45802</v>
      </c>
      <c r="C22">
        <v>126.22821432808573</v>
      </c>
      <c r="D22">
        <v>113.26245316481595</v>
      </c>
    </row>
    <row r="23" spans="1:4" x14ac:dyDescent="0.35">
      <c r="A23" s="56" t="s">
        <v>172</v>
      </c>
      <c r="B23" s="58">
        <v>45809</v>
      </c>
      <c r="C23">
        <v>121.96653009907016</v>
      </c>
      <c r="D23">
        <v>111.36129493462316</v>
      </c>
    </row>
    <row r="24" spans="1:4" x14ac:dyDescent="0.35">
      <c r="A24" s="56" t="s">
        <v>172</v>
      </c>
      <c r="B24" s="58">
        <v>45816</v>
      </c>
      <c r="C24">
        <v>114.34435544722835</v>
      </c>
      <c r="D24">
        <v>109.29446344087542</v>
      </c>
    </row>
    <row r="25" spans="1:4" x14ac:dyDescent="0.35">
      <c r="A25" s="56" t="s">
        <v>172</v>
      </c>
      <c r="B25" s="58">
        <v>45823</v>
      </c>
      <c r="C25">
        <v>131.16663397761536</v>
      </c>
      <c r="D25">
        <v>107.09209774085076</v>
      </c>
    </row>
    <row r="26" spans="1:4" x14ac:dyDescent="0.35">
      <c r="A26" s="56" t="s">
        <v>172</v>
      </c>
      <c r="B26" s="58">
        <v>45830</v>
      </c>
      <c r="C26">
        <v>111.57594156421014</v>
      </c>
      <c r="D26">
        <v>104.78631328575122</v>
      </c>
    </row>
    <row r="27" spans="1:4" x14ac:dyDescent="0.35">
      <c r="A27" s="56" t="s">
        <v>172</v>
      </c>
      <c r="B27" s="58">
        <v>45837</v>
      </c>
      <c r="C27">
        <v>106.28008727132459</v>
      </c>
      <c r="D27">
        <v>102.41073360510651</v>
      </c>
    </row>
    <row r="28" spans="1:4" x14ac:dyDescent="0.35">
      <c r="A28" s="56" t="s">
        <v>173</v>
      </c>
      <c r="B28" s="58">
        <v>45662</v>
      </c>
      <c r="C28">
        <v>107.04547181725617</v>
      </c>
      <c r="D28">
        <v>102.1606699896931</v>
      </c>
    </row>
    <row r="29" spans="1:4" x14ac:dyDescent="0.35">
      <c r="A29" s="56" t="s">
        <v>173</v>
      </c>
      <c r="B29" s="58">
        <v>45669</v>
      </c>
      <c r="C29">
        <v>107.05310208093897</v>
      </c>
      <c r="D29">
        <v>102.16652420090173</v>
      </c>
    </row>
    <row r="30" spans="1:4" x14ac:dyDescent="0.35">
      <c r="A30" s="56" t="s">
        <v>173</v>
      </c>
      <c r="B30" s="58">
        <v>45676</v>
      </c>
      <c r="C30">
        <v>107.0685196431314</v>
      </c>
      <c r="D30">
        <v>102.17134052502657</v>
      </c>
    </row>
    <row r="31" spans="1:4" x14ac:dyDescent="0.35">
      <c r="A31" s="56" t="s">
        <v>173</v>
      </c>
      <c r="B31" s="58">
        <v>45683</v>
      </c>
      <c r="C31">
        <v>107.08948947513875</v>
      </c>
      <c r="D31">
        <v>102.17613002710898</v>
      </c>
    </row>
    <row r="32" spans="1:4" x14ac:dyDescent="0.35">
      <c r="A32" s="56" t="s">
        <v>173</v>
      </c>
      <c r="B32" s="58">
        <v>45690</v>
      </c>
      <c r="C32">
        <v>107.11175303732523</v>
      </c>
      <c r="D32">
        <v>102.17841452742478</v>
      </c>
    </row>
    <row r="33" spans="1:4" x14ac:dyDescent="0.35">
      <c r="A33" s="56" t="s">
        <v>173</v>
      </c>
      <c r="B33" s="58">
        <v>45697</v>
      </c>
      <c r="C33">
        <v>107.14187980357775</v>
      </c>
      <c r="D33">
        <v>102.18607684110169</v>
      </c>
    </row>
    <row r="34" spans="1:4" x14ac:dyDescent="0.35">
      <c r="A34" s="56" t="s">
        <v>173</v>
      </c>
      <c r="B34" s="58">
        <v>45704</v>
      </c>
      <c r="C34">
        <v>107.21626379940066</v>
      </c>
      <c r="D34">
        <v>102.23584099241447</v>
      </c>
    </row>
    <row r="35" spans="1:4" x14ac:dyDescent="0.35">
      <c r="A35" s="56" t="s">
        <v>173</v>
      </c>
      <c r="B35" s="58">
        <v>45711</v>
      </c>
      <c r="C35">
        <v>107.19200329820842</v>
      </c>
      <c r="D35">
        <v>102.18615491791191</v>
      </c>
    </row>
    <row r="36" spans="1:4" x14ac:dyDescent="0.35">
      <c r="A36" s="56" t="s">
        <v>173</v>
      </c>
      <c r="B36" s="58">
        <v>45718</v>
      </c>
      <c r="C36">
        <v>107.25650467918041</v>
      </c>
      <c r="D36">
        <v>102.22366705929876</v>
      </c>
    </row>
    <row r="37" spans="1:4" x14ac:dyDescent="0.35">
      <c r="A37" s="56" t="s">
        <v>173</v>
      </c>
      <c r="B37" s="58">
        <v>45725</v>
      </c>
      <c r="C37">
        <v>107.33862078299724</v>
      </c>
      <c r="D37">
        <v>102.27642819432702</v>
      </c>
    </row>
    <row r="38" spans="1:4" x14ac:dyDescent="0.35">
      <c r="A38" s="56" t="s">
        <v>173</v>
      </c>
      <c r="B38" s="58">
        <v>45732</v>
      </c>
      <c r="C38">
        <v>107.41695533958023</v>
      </c>
      <c r="D38">
        <v>102.3242675376423</v>
      </c>
    </row>
    <row r="39" spans="1:4" x14ac:dyDescent="0.35">
      <c r="A39" s="56" t="s">
        <v>173</v>
      </c>
      <c r="B39" s="58">
        <v>45739</v>
      </c>
      <c r="C39">
        <v>108.89227248988206</v>
      </c>
      <c r="D39">
        <v>103.7719763810578</v>
      </c>
    </row>
    <row r="40" spans="1:4" x14ac:dyDescent="0.35">
      <c r="A40" s="56" t="s">
        <v>173</v>
      </c>
      <c r="B40" s="58">
        <v>45746</v>
      </c>
      <c r="C40">
        <v>109.0955908557255</v>
      </c>
      <c r="D40">
        <v>103.94430197245691</v>
      </c>
    </row>
    <row r="41" spans="1:4" x14ac:dyDescent="0.35">
      <c r="A41" s="56" t="s">
        <v>173</v>
      </c>
      <c r="B41" s="58">
        <v>45753</v>
      </c>
      <c r="C41">
        <v>110.30899989460083</v>
      </c>
      <c r="D41">
        <v>105.10799518610477</v>
      </c>
    </row>
    <row r="42" spans="1:4" x14ac:dyDescent="0.35">
      <c r="A42" s="56" t="s">
        <v>173</v>
      </c>
      <c r="B42" s="58">
        <v>45760</v>
      </c>
      <c r="C42">
        <v>110.95145872788407</v>
      </c>
      <c r="D42">
        <v>105.69588088562406</v>
      </c>
    </row>
    <row r="43" spans="1:4" x14ac:dyDescent="0.35">
      <c r="A43" s="56" t="s">
        <v>173</v>
      </c>
      <c r="B43" s="58">
        <v>45767</v>
      </c>
      <c r="C43">
        <v>126.52298412243158</v>
      </c>
      <c r="D43">
        <v>121.25430522553475</v>
      </c>
    </row>
    <row r="44" spans="1:4" x14ac:dyDescent="0.35">
      <c r="A44" s="56" t="s">
        <v>173</v>
      </c>
      <c r="B44" s="58">
        <v>45774</v>
      </c>
      <c r="C44">
        <v>122.49828444874947</v>
      </c>
      <c r="D44">
        <v>117.18750996978955</v>
      </c>
    </row>
    <row r="45" spans="1:4" x14ac:dyDescent="0.35">
      <c r="A45" s="56" t="s">
        <v>173</v>
      </c>
      <c r="B45" s="58">
        <v>45781</v>
      </c>
      <c r="C45">
        <v>123.4803119603082</v>
      </c>
      <c r="D45">
        <v>118.13202624683875</v>
      </c>
    </row>
    <row r="46" spans="1:4" x14ac:dyDescent="0.35">
      <c r="A46" s="56" t="s">
        <v>173</v>
      </c>
      <c r="B46" s="58">
        <v>45788</v>
      </c>
      <c r="C46">
        <v>127.07234426335229</v>
      </c>
      <c r="D46">
        <v>121.68692047978173</v>
      </c>
    </row>
    <row r="47" spans="1:4" x14ac:dyDescent="0.35">
      <c r="A47" s="56" t="s">
        <v>173</v>
      </c>
      <c r="B47" s="58">
        <v>45795</v>
      </c>
      <c r="C47">
        <v>135.13580864894777</v>
      </c>
      <c r="D47">
        <v>129.72613061113665</v>
      </c>
    </row>
    <row r="48" spans="1:4" x14ac:dyDescent="0.35">
      <c r="A48" s="56" t="s">
        <v>173</v>
      </c>
      <c r="B48" s="58">
        <v>45802</v>
      </c>
      <c r="C48">
        <v>131.67424441120551</v>
      </c>
      <c r="D48">
        <v>126.22821432808573</v>
      </c>
    </row>
    <row r="49" spans="1:4" x14ac:dyDescent="0.35">
      <c r="A49" s="56" t="s">
        <v>173</v>
      </c>
      <c r="B49" s="58">
        <v>45809</v>
      </c>
      <c r="C49">
        <v>127.44708239502866</v>
      </c>
      <c r="D49">
        <v>121.96653009907016</v>
      </c>
    </row>
    <row r="50" spans="1:4" x14ac:dyDescent="0.35">
      <c r="A50" s="56" t="s">
        <v>173</v>
      </c>
      <c r="B50" s="58">
        <v>45816</v>
      </c>
      <c r="C50">
        <v>119.83779288996936</v>
      </c>
      <c r="D50">
        <v>114.34435544722835</v>
      </c>
    </row>
    <row r="51" spans="1:4" x14ac:dyDescent="0.35">
      <c r="A51" s="56" t="s">
        <v>173</v>
      </c>
      <c r="B51" s="58">
        <v>45823</v>
      </c>
      <c r="C51">
        <v>136.72334913175442</v>
      </c>
      <c r="D51">
        <v>131.16663397761536</v>
      </c>
    </row>
    <row r="52" spans="1:4" x14ac:dyDescent="0.35">
      <c r="A52" s="56" t="s">
        <v>173</v>
      </c>
      <c r="B52" s="58">
        <v>45830</v>
      </c>
      <c r="C52">
        <v>117.14379566628001</v>
      </c>
      <c r="D52">
        <v>111.57594156421014</v>
      </c>
    </row>
    <row r="53" spans="1:4" x14ac:dyDescent="0.35">
      <c r="A53" s="56" t="s">
        <v>173</v>
      </c>
      <c r="B53" s="58">
        <v>45837</v>
      </c>
      <c r="C53">
        <v>111.91475830320728</v>
      </c>
      <c r="D53">
        <v>106.28008727132459</v>
      </c>
    </row>
    <row r="54" spans="1:4" x14ac:dyDescent="0.35">
      <c r="A54" s="56" t="s">
        <v>174</v>
      </c>
      <c r="B54" s="58">
        <v>45662</v>
      </c>
      <c r="C54">
        <v>106.33666371578084</v>
      </c>
      <c r="D54">
        <v>178.00180068982681</v>
      </c>
    </row>
    <row r="55" spans="1:4" x14ac:dyDescent="0.35">
      <c r="A55" s="56" t="s">
        <v>174</v>
      </c>
      <c r="B55" s="58">
        <v>45669</v>
      </c>
      <c r="C55">
        <v>94.173487543064482</v>
      </c>
      <c r="D55">
        <v>180.91662980275092</v>
      </c>
    </row>
    <row r="56" spans="1:4" x14ac:dyDescent="0.35">
      <c r="A56" s="56" t="s">
        <v>174</v>
      </c>
      <c r="B56" s="58">
        <v>45676</v>
      </c>
      <c r="C56">
        <v>104.24587833720561</v>
      </c>
      <c r="D56">
        <v>183.79705735091292</v>
      </c>
    </row>
    <row r="57" spans="1:4" x14ac:dyDescent="0.35">
      <c r="A57" s="56" t="s">
        <v>174</v>
      </c>
      <c r="B57" s="58">
        <v>45683</v>
      </c>
      <c r="C57">
        <v>131.20142216811041</v>
      </c>
      <c r="D57">
        <v>186.60869625903331</v>
      </c>
    </row>
    <row r="58" spans="1:4" x14ac:dyDescent="0.35">
      <c r="A58" s="56" t="s">
        <v>174</v>
      </c>
      <c r="B58" s="58">
        <v>45690</v>
      </c>
      <c r="C58">
        <v>110.11995115283506</v>
      </c>
      <c r="D58">
        <v>189.31760719579842</v>
      </c>
    </row>
    <row r="59" spans="1:4" x14ac:dyDescent="0.35">
      <c r="A59" s="56" t="s">
        <v>174</v>
      </c>
      <c r="B59" s="58">
        <v>45697</v>
      </c>
      <c r="C59">
        <v>107.81910883535627</v>
      </c>
      <c r="D59">
        <v>191.89137301053438</v>
      </c>
    </row>
    <row r="60" spans="1:4" x14ac:dyDescent="0.35">
      <c r="A60" s="56" t="s">
        <v>174</v>
      </c>
      <c r="B60" s="58">
        <v>45704</v>
      </c>
      <c r="C60">
        <v>91.538515666406454</v>
      </c>
      <c r="D60">
        <v>194.29947741417934</v>
      </c>
    </row>
    <row r="61" spans="1:4" x14ac:dyDescent="0.35">
      <c r="A61" s="56" t="s">
        <v>174</v>
      </c>
      <c r="B61" s="58">
        <v>45711</v>
      </c>
      <c r="C61">
        <v>111.24706410568919</v>
      </c>
      <c r="D61">
        <v>196.51377080034959</v>
      </c>
    </row>
    <row r="62" spans="1:4" x14ac:dyDescent="0.35">
      <c r="A62" s="56" t="s">
        <v>174</v>
      </c>
      <c r="B62" s="58">
        <v>45718</v>
      </c>
      <c r="C62">
        <v>99.879670929351647</v>
      </c>
      <c r="D62">
        <v>198.50930117425276</v>
      </c>
    </row>
    <row r="63" spans="1:4" x14ac:dyDescent="0.35">
      <c r="A63" s="56" t="s">
        <v>174</v>
      </c>
      <c r="B63" s="58">
        <v>45725</v>
      </c>
      <c r="C63">
        <v>109.67741059351485</v>
      </c>
      <c r="D63">
        <v>200.26470584832813</v>
      </c>
    </row>
    <row r="64" spans="1:4" x14ac:dyDescent="0.35">
      <c r="A64" s="56" t="s">
        <v>174</v>
      </c>
      <c r="B64" s="58">
        <v>45732</v>
      </c>
      <c r="C64">
        <v>94.627002833698953</v>
      </c>
      <c r="D64">
        <v>201.76212785897548</v>
      </c>
    </row>
    <row r="65" spans="1:4" x14ac:dyDescent="0.35">
      <c r="A65" s="56" t="s">
        <v>174</v>
      </c>
      <c r="B65" s="58">
        <v>45739</v>
      </c>
      <c r="C65">
        <v>117.33952138426247</v>
      </c>
      <c r="D65">
        <v>202.98826646552664</v>
      </c>
    </row>
    <row r="66" spans="1:4" x14ac:dyDescent="0.35">
      <c r="A66" s="56" t="s">
        <v>174</v>
      </c>
      <c r="B66" s="58">
        <v>45746</v>
      </c>
      <c r="C66">
        <v>101.46450702051548</v>
      </c>
      <c r="D66">
        <v>203.93284474332839</v>
      </c>
    </row>
    <row r="67" spans="1:4" x14ac:dyDescent="0.35">
      <c r="A67" s="56" t="s">
        <v>174</v>
      </c>
      <c r="B67" s="58">
        <v>45753</v>
      </c>
      <c r="C67">
        <v>115.62625526146712</v>
      </c>
      <c r="D67">
        <v>204.59036510065312</v>
      </c>
    </row>
    <row r="68" spans="1:4" x14ac:dyDescent="0.35">
      <c r="A68" s="56" t="s">
        <v>174</v>
      </c>
      <c r="B68" s="58">
        <v>45760</v>
      </c>
      <c r="C68">
        <v>108.96029900564986</v>
      </c>
      <c r="D68">
        <v>204.95848559316514</v>
      </c>
    </row>
    <row r="69" spans="1:4" x14ac:dyDescent="0.35">
      <c r="A69" s="56" t="s">
        <v>174</v>
      </c>
      <c r="B69" s="58">
        <v>45767</v>
      </c>
      <c r="C69">
        <v>123.72151045143637</v>
      </c>
      <c r="D69">
        <v>205.04005786844166</v>
      </c>
    </row>
    <row r="70" spans="1:4" x14ac:dyDescent="0.35">
      <c r="A70" s="56" t="s">
        <v>174</v>
      </c>
      <c r="B70" s="58">
        <v>45774</v>
      </c>
      <c r="C70">
        <v>123.78954640983068</v>
      </c>
      <c r="D70">
        <v>204.84141565105966</v>
      </c>
    </row>
    <row r="71" spans="1:4" x14ac:dyDescent="0.35">
      <c r="A71" s="56" t="s">
        <v>174</v>
      </c>
      <c r="B71" s="58">
        <v>45781</v>
      </c>
      <c r="C71">
        <v>124.85659278437983</v>
      </c>
      <c r="D71">
        <v>204.3730873265493</v>
      </c>
    </row>
    <row r="72" spans="1:4" x14ac:dyDescent="0.35">
      <c r="A72" s="56" t="s">
        <v>174</v>
      </c>
      <c r="B72" s="58">
        <v>45788</v>
      </c>
      <c r="C72">
        <v>143.60560622887763</v>
      </c>
      <c r="D72">
        <v>203.64841396218767</v>
      </c>
    </row>
    <row r="73" spans="1:4" x14ac:dyDescent="0.35">
      <c r="A73" s="56" t="s">
        <v>174</v>
      </c>
      <c r="B73" s="58">
        <v>45795</v>
      </c>
      <c r="C73">
        <v>140.34450878194269</v>
      </c>
      <c r="D73">
        <v>202.68426278325776</v>
      </c>
    </row>
    <row r="74" spans="1:4" x14ac:dyDescent="0.35">
      <c r="A74" s="56" t="s">
        <v>174</v>
      </c>
      <c r="B74" s="58">
        <v>45802</v>
      </c>
      <c r="C74">
        <v>126.27574345317569</v>
      </c>
      <c r="D74">
        <v>201.50090105096166</v>
      </c>
    </row>
    <row r="75" spans="1:4" x14ac:dyDescent="0.35">
      <c r="A75" s="56" t="s">
        <v>174</v>
      </c>
      <c r="B75" s="58">
        <v>45809</v>
      </c>
      <c r="C75">
        <v>116.39321532951698</v>
      </c>
      <c r="D75">
        <v>200.12190396907459</v>
      </c>
    </row>
    <row r="76" spans="1:4" x14ac:dyDescent="0.35">
      <c r="A76" s="56" t="s">
        <v>174</v>
      </c>
      <c r="B76" s="58">
        <v>45816</v>
      </c>
      <c r="C76">
        <v>122.20764883864287</v>
      </c>
      <c r="D76">
        <v>198.57386198898905</v>
      </c>
    </row>
    <row r="77" spans="1:4" x14ac:dyDescent="0.35">
      <c r="A77" s="56" t="s">
        <v>174</v>
      </c>
      <c r="B77" s="58">
        <v>45823</v>
      </c>
      <c r="C77">
        <v>130.29073790787101</v>
      </c>
      <c r="D77">
        <v>196.88562376273305</v>
      </c>
    </row>
    <row r="78" spans="1:4" x14ac:dyDescent="0.35">
      <c r="A78" s="56" t="s">
        <v>174</v>
      </c>
      <c r="B78" s="58">
        <v>45830</v>
      </c>
      <c r="C78">
        <v>117.34984205887396</v>
      </c>
      <c r="D78">
        <v>195.08832563086179</v>
      </c>
    </row>
    <row r="79" spans="1:4" x14ac:dyDescent="0.35">
      <c r="A79" s="56" t="s">
        <v>174</v>
      </c>
      <c r="B79" s="58">
        <v>45837</v>
      </c>
      <c r="C79">
        <v>116.62539231204123</v>
      </c>
      <c r="D79">
        <v>193.21529382004616</v>
      </c>
    </row>
    <row r="80" spans="1:4" x14ac:dyDescent="0.35">
      <c r="A80" s="56" t="s">
        <v>169</v>
      </c>
      <c r="B80" s="58">
        <v>45662</v>
      </c>
      <c r="C80">
        <v>100.00000000000003</v>
      </c>
      <c r="D80">
        <v>107.04547181725617</v>
      </c>
    </row>
    <row r="81" spans="1:4" x14ac:dyDescent="0.35">
      <c r="A81" s="56" t="s">
        <v>169</v>
      </c>
      <c r="B81" s="58">
        <v>45669</v>
      </c>
      <c r="C81">
        <v>102.41073360510647</v>
      </c>
      <c r="D81">
        <v>107.05310208093897</v>
      </c>
    </row>
    <row r="82" spans="1:4" x14ac:dyDescent="0.35">
      <c r="A82" s="56" t="s">
        <v>169</v>
      </c>
      <c r="B82" s="58">
        <v>45676</v>
      </c>
      <c r="C82">
        <v>104.78631328575116</v>
      </c>
      <c r="D82">
        <v>107.0685196431314</v>
      </c>
    </row>
    <row r="83" spans="1:4" x14ac:dyDescent="0.35">
      <c r="A83" s="56" t="s">
        <v>169</v>
      </c>
      <c r="B83" s="58">
        <v>45683</v>
      </c>
      <c r="C83">
        <v>107.0920977408507</v>
      </c>
      <c r="D83">
        <v>107.08948947513875</v>
      </c>
    </row>
    <row r="84" spans="1:4" x14ac:dyDescent="0.35">
      <c r="A84" s="56" t="s">
        <v>169</v>
      </c>
      <c r="B84" s="58">
        <v>45690</v>
      </c>
      <c r="C84">
        <v>109.29446344087538</v>
      </c>
      <c r="D84">
        <v>107.11175303732523</v>
      </c>
    </row>
    <row r="85" spans="1:4" x14ac:dyDescent="0.35">
      <c r="A85" s="56" t="s">
        <v>169</v>
      </c>
      <c r="B85" s="58">
        <v>45697</v>
      </c>
      <c r="C85">
        <v>111.3612949346231</v>
      </c>
      <c r="D85">
        <v>107.14187980357775</v>
      </c>
    </row>
    <row r="86" spans="1:4" x14ac:dyDescent="0.35">
      <c r="A86" s="56" t="s">
        <v>169</v>
      </c>
      <c r="B86" s="58">
        <v>45704</v>
      </c>
      <c r="C86">
        <v>113.26245316481591</v>
      </c>
      <c r="D86">
        <v>107.21626379940066</v>
      </c>
    </row>
    <row r="87" spans="1:4" x14ac:dyDescent="0.35">
      <c r="A87" s="56" t="s">
        <v>169</v>
      </c>
      <c r="B87" s="58">
        <v>45711</v>
      </c>
      <c r="C87">
        <v>114.97021496342201</v>
      </c>
      <c r="D87">
        <v>107.19200329820842</v>
      </c>
    </row>
    <row r="88" spans="1:4" x14ac:dyDescent="0.35">
      <c r="A88" s="56" t="s">
        <v>169</v>
      </c>
      <c r="B88" s="58">
        <v>45718</v>
      </c>
      <c r="C88">
        <v>116.45967731787312</v>
      </c>
      <c r="D88">
        <v>107.25650467918041</v>
      </c>
    </row>
    <row r="89" spans="1:4" x14ac:dyDescent="0.35">
      <c r="A89" s="56" t="s">
        <v>169</v>
      </c>
      <c r="B89" s="58">
        <v>45725</v>
      </c>
      <c r="C89">
        <v>117.70912051306422</v>
      </c>
      <c r="D89">
        <v>107.33862078299724</v>
      </c>
    </row>
    <row r="90" spans="1:4" x14ac:dyDescent="0.35">
      <c r="A90" s="56" t="s">
        <v>169</v>
      </c>
      <c r="B90" s="58">
        <v>45732</v>
      </c>
      <c r="C90">
        <v>118.70032485370831</v>
      </c>
      <c r="D90">
        <v>107.41695533958023</v>
      </c>
    </row>
    <row r="91" spans="1:4" x14ac:dyDescent="0.35">
      <c r="A91" s="56" t="s">
        <v>169</v>
      </c>
      <c r="B91" s="58">
        <v>45739</v>
      </c>
      <c r="C91">
        <v>119.41883634852104</v>
      </c>
      <c r="D91">
        <v>108.89227248988206</v>
      </c>
    </row>
    <row r="92" spans="1:4" x14ac:dyDescent="0.35">
      <c r="A92" s="56" t="s">
        <v>169</v>
      </c>
      <c r="B92" s="58">
        <v>45746</v>
      </c>
      <c r="C92">
        <v>119.85417748196107</v>
      </c>
      <c r="D92">
        <v>109.0955908557255</v>
      </c>
    </row>
    <row r="93" spans="1:4" x14ac:dyDescent="0.35">
      <c r="A93" s="56" t="s">
        <v>169</v>
      </c>
      <c r="B93" s="58">
        <v>45753</v>
      </c>
      <c r="C93">
        <v>120.00000000000003</v>
      </c>
      <c r="D93">
        <v>110.30899989460083</v>
      </c>
    </row>
    <row r="94" spans="1:4" x14ac:dyDescent="0.35">
      <c r="A94" s="56" t="s">
        <v>169</v>
      </c>
      <c r="B94" s="58">
        <v>45760</v>
      </c>
      <c r="C94">
        <v>119.85417748196109</v>
      </c>
      <c r="D94">
        <v>110.95145872788407</v>
      </c>
    </row>
    <row r="95" spans="1:4" x14ac:dyDescent="0.35">
      <c r="A95" s="56" t="s">
        <v>169</v>
      </c>
      <c r="B95" s="58">
        <v>45767</v>
      </c>
      <c r="C95">
        <v>119.41883634852107</v>
      </c>
      <c r="D95">
        <v>126.52298412243158</v>
      </c>
    </row>
    <row r="96" spans="1:4" x14ac:dyDescent="0.35">
      <c r="A96" s="56" t="s">
        <v>169</v>
      </c>
      <c r="B96" s="58">
        <v>45774</v>
      </c>
      <c r="C96">
        <v>118.70032485370834</v>
      </c>
      <c r="D96">
        <v>122.49828444874947</v>
      </c>
    </row>
    <row r="97" spans="1:4" x14ac:dyDescent="0.35">
      <c r="A97" s="56" t="s">
        <v>169</v>
      </c>
      <c r="B97" s="58">
        <v>45781</v>
      </c>
      <c r="C97">
        <v>117.70912051306424</v>
      </c>
      <c r="D97">
        <v>123.4803119603082</v>
      </c>
    </row>
    <row r="98" spans="1:4" x14ac:dyDescent="0.35">
      <c r="A98" s="56" t="s">
        <v>169</v>
      </c>
      <c r="B98" s="58">
        <v>45788</v>
      </c>
      <c r="C98">
        <v>116.45967731787314</v>
      </c>
      <c r="D98">
        <v>127.07234426335229</v>
      </c>
    </row>
    <row r="99" spans="1:4" x14ac:dyDescent="0.35">
      <c r="A99" s="56" t="s">
        <v>169</v>
      </c>
      <c r="B99" s="58">
        <v>45795</v>
      </c>
      <c r="C99">
        <v>114.97021496342205</v>
      </c>
      <c r="D99">
        <v>135.13580864894777</v>
      </c>
    </row>
    <row r="100" spans="1:4" x14ac:dyDescent="0.35">
      <c r="A100" s="56" t="s">
        <v>169</v>
      </c>
      <c r="B100" s="58">
        <v>45802</v>
      </c>
      <c r="C100">
        <v>113.26245316481595</v>
      </c>
      <c r="D100">
        <v>131.67424441120551</v>
      </c>
    </row>
    <row r="101" spans="1:4" x14ac:dyDescent="0.35">
      <c r="A101" s="56" t="s">
        <v>169</v>
      </c>
      <c r="B101" s="58">
        <v>45809</v>
      </c>
      <c r="C101">
        <v>111.36129493462316</v>
      </c>
      <c r="D101">
        <v>127.44708239502866</v>
      </c>
    </row>
    <row r="102" spans="1:4" x14ac:dyDescent="0.35">
      <c r="A102" s="56" t="s">
        <v>169</v>
      </c>
      <c r="B102" s="58">
        <v>45816</v>
      </c>
      <c r="C102">
        <v>109.29446344087542</v>
      </c>
      <c r="D102">
        <v>119.83779288996936</v>
      </c>
    </row>
    <row r="103" spans="1:4" x14ac:dyDescent="0.35">
      <c r="A103" s="56" t="s">
        <v>169</v>
      </c>
      <c r="B103" s="58">
        <v>45823</v>
      </c>
      <c r="C103">
        <v>107.09209774085076</v>
      </c>
      <c r="D103">
        <v>136.72334913175442</v>
      </c>
    </row>
    <row r="104" spans="1:4" x14ac:dyDescent="0.35">
      <c r="A104" s="56" t="s">
        <v>169</v>
      </c>
      <c r="B104" s="58">
        <v>45830</v>
      </c>
      <c r="C104">
        <v>104.78631328575122</v>
      </c>
      <c r="D104">
        <v>117.14379566628001</v>
      </c>
    </row>
    <row r="105" spans="1:4" x14ac:dyDescent="0.35">
      <c r="A105" s="56" t="s">
        <v>169</v>
      </c>
      <c r="B105" s="58">
        <v>45837</v>
      </c>
      <c r="C105">
        <v>102.41073360510651</v>
      </c>
      <c r="D105">
        <v>111.91475830320728</v>
      </c>
    </row>
    <row r="106" spans="1:4" x14ac:dyDescent="0.35">
      <c r="A106" s="56" t="s">
        <v>170</v>
      </c>
      <c r="B106" s="58">
        <v>45662</v>
      </c>
      <c r="C106">
        <v>178.00180068982681</v>
      </c>
      <c r="D106">
        <v>178.59399749583125</v>
      </c>
    </row>
    <row r="107" spans="1:4" x14ac:dyDescent="0.35">
      <c r="A107" s="56" t="s">
        <v>170</v>
      </c>
      <c r="B107" s="58">
        <v>45669</v>
      </c>
      <c r="C107">
        <v>180.91662980275092</v>
      </c>
      <c r="D107">
        <v>183.53348711939492</v>
      </c>
    </row>
    <row r="108" spans="1:4" x14ac:dyDescent="0.35">
      <c r="A108" s="56" t="s">
        <v>170</v>
      </c>
      <c r="B108" s="58">
        <v>45676</v>
      </c>
      <c r="C108">
        <v>183.79705735091292</v>
      </c>
      <c r="D108">
        <v>190.88687454147802</v>
      </c>
    </row>
    <row r="109" spans="1:4" x14ac:dyDescent="0.35">
      <c r="A109" s="56" t="s">
        <v>170</v>
      </c>
      <c r="B109" s="58">
        <v>45683</v>
      </c>
      <c r="C109">
        <v>186.60869625903331</v>
      </c>
      <c r="D109">
        <v>192.13258513912939</v>
      </c>
    </row>
    <row r="110" spans="1:4" x14ac:dyDescent="0.35">
      <c r="A110" s="56" t="s">
        <v>170</v>
      </c>
      <c r="B110" s="58">
        <v>45690</v>
      </c>
      <c r="C110">
        <v>189.31760719579842</v>
      </c>
      <c r="D110">
        <v>189.09428343739461</v>
      </c>
    </row>
    <row r="111" spans="1:4" x14ac:dyDescent="0.35">
      <c r="A111" s="56" t="s">
        <v>170</v>
      </c>
      <c r="B111" s="58">
        <v>45697</v>
      </c>
      <c r="C111">
        <v>191.89137301053438</v>
      </c>
      <c r="D111">
        <v>191.99192659347591</v>
      </c>
    </row>
    <row r="112" spans="1:4" x14ac:dyDescent="0.35">
      <c r="A112" s="56" t="s">
        <v>170</v>
      </c>
      <c r="B112" s="58">
        <v>45704</v>
      </c>
      <c r="C112">
        <v>194.29947741417934</v>
      </c>
      <c r="D112">
        <v>195.40941282566351</v>
      </c>
    </row>
    <row r="113" spans="1:4" x14ac:dyDescent="0.35">
      <c r="A113" s="56" t="s">
        <v>170</v>
      </c>
      <c r="B113" s="58">
        <v>45711</v>
      </c>
      <c r="C113">
        <v>196.51377080034959</v>
      </c>
      <c r="D113">
        <v>200.49177199178393</v>
      </c>
    </row>
    <row r="114" spans="1:4" x14ac:dyDescent="0.35">
      <c r="A114" s="56" t="s">
        <v>170</v>
      </c>
      <c r="B114" s="58">
        <v>45718</v>
      </c>
      <c r="C114">
        <v>198.50930117425276</v>
      </c>
      <c r="D114">
        <v>198.13922557289027</v>
      </c>
    </row>
    <row r="115" spans="1:4" x14ac:dyDescent="0.35">
      <c r="A115" s="56" t="s">
        <v>170</v>
      </c>
      <c r="B115" s="58">
        <v>45725</v>
      </c>
      <c r="C115">
        <v>200.26470584832813</v>
      </c>
      <c r="D115">
        <v>206.06937435927799</v>
      </c>
    </row>
    <row r="116" spans="1:4" x14ac:dyDescent="0.35">
      <c r="A116" s="56" t="s">
        <v>170</v>
      </c>
      <c r="B116" s="58">
        <v>45732</v>
      </c>
      <c r="C116">
        <v>201.76212785897548</v>
      </c>
      <c r="D116">
        <v>199.92341396450456</v>
      </c>
    </row>
    <row r="117" spans="1:4" x14ac:dyDescent="0.35">
      <c r="A117" s="56" t="s">
        <v>170</v>
      </c>
      <c r="B117" s="58">
        <v>45739</v>
      </c>
      <c r="C117">
        <v>202.98826646552664</v>
      </c>
      <c r="D117">
        <v>201.81122669233977</v>
      </c>
    </row>
    <row r="118" spans="1:4" x14ac:dyDescent="0.35">
      <c r="A118" s="56" t="s">
        <v>170</v>
      </c>
      <c r="B118" s="58">
        <v>45746</v>
      </c>
      <c r="C118">
        <v>203.93284474332839</v>
      </c>
      <c r="D118">
        <v>206.71269026129573</v>
      </c>
    </row>
    <row r="119" spans="1:4" x14ac:dyDescent="0.35">
      <c r="A119" s="56" t="s">
        <v>170</v>
      </c>
      <c r="B119" s="58">
        <v>45753</v>
      </c>
      <c r="C119">
        <v>204.59036510065312</v>
      </c>
      <c r="D119">
        <v>202.78178416237597</v>
      </c>
    </row>
    <row r="120" spans="1:4" x14ac:dyDescent="0.35">
      <c r="A120" s="56" t="s">
        <v>170</v>
      </c>
      <c r="B120" s="58">
        <v>45760</v>
      </c>
      <c r="C120">
        <v>204.95848559316514</v>
      </c>
      <c r="D120">
        <v>204.92160193346103</v>
      </c>
    </row>
    <row r="121" spans="1:4" x14ac:dyDescent="0.35">
      <c r="A121" s="56" t="s">
        <v>170</v>
      </c>
      <c r="B121" s="58">
        <v>45767</v>
      </c>
      <c r="C121">
        <v>205.04005786844166</v>
      </c>
      <c r="D121">
        <v>208.06550134384477</v>
      </c>
    </row>
    <row r="122" spans="1:4" x14ac:dyDescent="0.35">
      <c r="A122" s="56" t="s">
        <v>170</v>
      </c>
      <c r="B122" s="58">
        <v>45774</v>
      </c>
      <c r="C122">
        <v>204.84141565105966</v>
      </c>
      <c r="D122">
        <v>206.09253696455983</v>
      </c>
    </row>
    <row r="123" spans="1:4" x14ac:dyDescent="0.35">
      <c r="A123" s="56" t="s">
        <v>170</v>
      </c>
      <c r="B123" s="58">
        <v>45781</v>
      </c>
      <c r="C123">
        <v>204.3730873265493</v>
      </c>
      <c r="D123">
        <v>203.30191223575409</v>
      </c>
    </row>
    <row r="124" spans="1:4" x14ac:dyDescent="0.35">
      <c r="A124" s="56" t="s">
        <v>170</v>
      </c>
      <c r="B124" s="58">
        <v>45788</v>
      </c>
      <c r="C124">
        <v>203.64841396218767</v>
      </c>
      <c r="D124">
        <v>206.04708485127782</v>
      </c>
    </row>
    <row r="125" spans="1:4" x14ac:dyDescent="0.35">
      <c r="A125" s="56" t="s">
        <v>170</v>
      </c>
      <c r="B125" s="58">
        <v>45795</v>
      </c>
      <c r="C125">
        <v>202.68426278325776</v>
      </c>
      <c r="D125">
        <v>201.50437024849649</v>
      </c>
    </row>
    <row r="126" spans="1:4" x14ac:dyDescent="0.35">
      <c r="A126" s="56" t="s">
        <v>170</v>
      </c>
      <c r="B126" s="58">
        <v>45802</v>
      </c>
      <c r="C126">
        <v>201.50090105096166</v>
      </c>
      <c r="D126">
        <v>205.78520266591622</v>
      </c>
    </row>
    <row r="127" spans="1:4" x14ac:dyDescent="0.35">
      <c r="A127" s="56" t="s">
        <v>170</v>
      </c>
      <c r="B127" s="58">
        <v>45809</v>
      </c>
      <c r="C127">
        <v>200.12190396907459</v>
      </c>
      <c r="D127">
        <v>206.90587606282773</v>
      </c>
    </row>
    <row r="128" spans="1:4" x14ac:dyDescent="0.35">
      <c r="A128" s="56" t="s">
        <v>170</v>
      </c>
      <c r="B128" s="58">
        <v>45816</v>
      </c>
      <c r="C128">
        <v>198.57386198898905</v>
      </c>
      <c r="D128">
        <v>193.55221164892211</v>
      </c>
    </row>
    <row r="129" spans="1:4" x14ac:dyDescent="0.35">
      <c r="A129" s="56" t="s">
        <v>170</v>
      </c>
      <c r="B129" s="58">
        <v>45823</v>
      </c>
      <c r="C129">
        <v>196.88562376273305</v>
      </c>
      <c r="D129">
        <v>195.80595752256735</v>
      </c>
    </row>
    <row r="130" spans="1:4" x14ac:dyDescent="0.35">
      <c r="A130" s="56" t="s">
        <v>170</v>
      </c>
      <c r="B130" s="58">
        <v>45830</v>
      </c>
      <c r="C130">
        <v>195.08832563086179</v>
      </c>
      <c r="D130">
        <v>195.35242163235301</v>
      </c>
    </row>
    <row r="131" spans="1:4" x14ac:dyDescent="0.35">
      <c r="A131" s="56" t="s">
        <v>170</v>
      </c>
      <c r="B131" s="58">
        <v>45837</v>
      </c>
      <c r="C131">
        <v>193.21529382004616</v>
      </c>
      <c r="D131">
        <v>192.92034607340418</v>
      </c>
    </row>
    <row r="132" spans="1:4" x14ac:dyDescent="0.35">
      <c r="A132" s="56" t="s">
        <v>171</v>
      </c>
      <c r="B132" s="58">
        <v>45662</v>
      </c>
      <c r="C132">
        <v>178.59399749583125</v>
      </c>
      <c r="D132">
        <v>106.33666371578084</v>
      </c>
    </row>
    <row r="133" spans="1:4" x14ac:dyDescent="0.35">
      <c r="A133" s="56" t="s">
        <v>171</v>
      </c>
      <c r="B133" s="58">
        <v>45669</v>
      </c>
      <c r="C133">
        <v>183.53348711939492</v>
      </c>
      <c r="D133">
        <v>94.173487543064482</v>
      </c>
    </row>
    <row r="134" spans="1:4" x14ac:dyDescent="0.35">
      <c r="A134" s="56" t="s">
        <v>171</v>
      </c>
      <c r="B134" s="58">
        <v>45676</v>
      </c>
      <c r="C134">
        <v>190.88687454147802</v>
      </c>
      <c r="D134">
        <v>104.24587833720561</v>
      </c>
    </row>
    <row r="135" spans="1:4" x14ac:dyDescent="0.35">
      <c r="A135" s="56" t="s">
        <v>171</v>
      </c>
      <c r="B135" s="58">
        <v>45683</v>
      </c>
      <c r="C135">
        <v>192.13258513912939</v>
      </c>
      <c r="D135">
        <v>131.20142216811041</v>
      </c>
    </row>
    <row r="136" spans="1:4" x14ac:dyDescent="0.35">
      <c r="A136" s="56" t="s">
        <v>171</v>
      </c>
      <c r="B136" s="58">
        <v>45690</v>
      </c>
      <c r="C136">
        <v>189.09428343739461</v>
      </c>
      <c r="D136">
        <v>110.11995115283506</v>
      </c>
    </row>
    <row r="137" spans="1:4" x14ac:dyDescent="0.35">
      <c r="A137" s="56" t="s">
        <v>171</v>
      </c>
      <c r="B137" s="58">
        <v>45697</v>
      </c>
      <c r="C137">
        <v>191.99192659347591</v>
      </c>
      <c r="D137">
        <v>107.81910883535627</v>
      </c>
    </row>
    <row r="138" spans="1:4" x14ac:dyDescent="0.35">
      <c r="A138" s="56" t="s">
        <v>171</v>
      </c>
      <c r="B138" s="58">
        <v>45704</v>
      </c>
      <c r="C138">
        <v>195.40941282566351</v>
      </c>
      <c r="D138">
        <v>91.538515666406454</v>
      </c>
    </row>
    <row r="139" spans="1:4" x14ac:dyDescent="0.35">
      <c r="A139" s="56" t="s">
        <v>171</v>
      </c>
      <c r="B139" s="58">
        <v>45711</v>
      </c>
      <c r="C139">
        <v>200.49177199178393</v>
      </c>
      <c r="D139">
        <v>111.24706410568919</v>
      </c>
    </row>
    <row r="140" spans="1:4" x14ac:dyDescent="0.35">
      <c r="A140" s="56" t="s">
        <v>171</v>
      </c>
      <c r="B140" s="58">
        <v>45718</v>
      </c>
      <c r="C140">
        <v>198.13922557289027</v>
      </c>
      <c r="D140">
        <v>99.879670929351647</v>
      </c>
    </row>
    <row r="141" spans="1:4" x14ac:dyDescent="0.35">
      <c r="A141" s="56" t="s">
        <v>171</v>
      </c>
      <c r="B141" s="58">
        <v>45725</v>
      </c>
      <c r="C141">
        <v>206.06937435927799</v>
      </c>
      <c r="D141">
        <v>109.67741059351485</v>
      </c>
    </row>
    <row r="142" spans="1:4" x14ac:dyDescent="0.35">
      <c r="A142" s="56" t="s">
        <v>171</v>
      </c>
      <c r="B142" s="58">
        <v>45732</v>
      </c>
      <c r="C142">
        <v>199.92341396450456</v>
      </c>
      <c r="D142">
        <v>94.627002833698953</v>
      </c>
    </row>
    <row r="143" spans="1:4" x14ac:dyDescent="0.35">
      <c r="A143" s="56" t="s">
        <v>171</v>
      </c>
      <c r="B143" s="58">
        <v>45739</v>
      </c>
      <c r="C143">
        <v>201.81122669233977</v>
      </c>
      <c r="D143">
        <v>117.33952138426247</v>
      </c>
    </row>
    <row r="144" spans="1:4" x14ac:dyDescent="0.35">
      <c r="A144" s="56" t="s">
        <v>171</v>
      </c>
      <c r="B144" s="58">
        <v>45746</v>
      </c>
      <c r="C144">
        <v>206.71269026129573</v>
      </c>
      <c r="D144">
        <v>101.46450702051548</v>
      </c>
    </row>
    <row r="145" spans="1:4" x14ac:dyDescent="0.35">
      <c r="A145" s="56" t="s">
        <v>171</v>
      </c>
      <c r="B145" s="58">
        <v>45753</v>
      </c>
      <c r="C145">
        <v>202.78178416237597</v>
      </c>
      <c r="D145">
        <v>115.62625526146712</v>
      </c>
    </row>
    <row r="146" spans="1:4" x14ac:dyDescent="0.35">
      <c r="A146" s="56" t="s">
        <v>171</v>
      </c>
      <c r="B146" s="58">
        <v>45760</v>
      </c>
      <c r="C146">
        <v>204.92160193346103</v>
      </c>
      <c r="D146">
        <v>108.96029900564986</v>
      </c>
    </row>
    <row r="147" spans="1:4" x14ac:dyDescent="0.35">
      <c r="A147" s="56" t="s">
        <v>171</v>
      </c>
      <c r="B147" s="58">
        <v>45767</v>
      </c>
      <c r="C147">
        <v>208.06550134384477</v>
      </c>
      <c r="D147">
        <v>123.72151045143637</v>
      </c>
    </row>
    <row r="148" spans="1:4" x14ac:dyDescent="0.35">
      <c r="A148" s="56" t="s">
        <v>171</v>
      </c>
      <c r="B148" s="58">
        <v>45774</v>
      </c>
      <c r="C148">
        <v>206.09253696455983</v>
      </c>
      <c r="D148">
        <v>123.78954640983068</v>
      </c>
    </row>
    <row r="149" spans="1:4" x14ac:dyDescent="0.35">
      <c r="A149" s="56" t="s">
        <v>171</v>
      </c>
      <c r="B149" s="58">
        <v>45781</v>
      </c>
      <c r="C149">
        <v>203.30191223575409</v>
      </c>
      <c r="D149">
        <v>124.85659278437983</v>
      </c>
    </row>
    <row r="150" spans="1:4" x14ac:dyDescent="0.35">
      <c r="A150" s="56" t="s">
        <v>171</v>
      </c>
      <c r="B150" s="58">
        <v>45788</v>
      </c>
      <c r="C150">
        <v>206.04708485127782</v>
      </c>
      <c r="D150">
        <v>143.60560622887763</v>
      </c>
    </row>
    <row r="151" spans="1:4" x14ac:dyDescent="0.35">
      <c r="A151" s="56" t="s">
        <v>171</v>
      </c>
      <c r="B151" s="58">
        <v>45795</v>
      </c>
      <c r="C151">
        <v>201.50437024849649</v>
      </c>
      <c r="D151">
        <v>140.34450878194269</v>
      </c>
    </row>
    <row r="152" spans="1:4" x14ac:dyDescent="0.35">
      <c r="A152" s="56" t="s">
        <v>171</v>
      </c>
      <c r="B152" s="58">
        <v>45802</v>
      </c>
      <c r="C152">
        <v>205.78520266591622</v>
      </c>
      <c r="D152">
        <v>126.27574345317569</v>
      </c>
    </row>
    <row r="153" spans="1:4" x14ac:dyDescent="0.35">
      <c r="A153" s="56" t="s">
        <v>171</v>
      </c>
      <c r="B153" s="58">
        <v>45809</v>
      </c>
      <c r="C153">
        <v>206.90587606282773</v>
      </c>
      <c r="D153">
        <v>116.39321532951698</v>
      </c>
    </row>
    <row r="154" spans="1:4" x14ac:dyDescent="0.35">
      <c r="A154" s="56" t="s">
        <v>171</v>
      </c>
      <c r="B154" s="58">
        <v>45816</v>
      </c>
      <c r="C154">
        <v>193.55221164892211</v>
      </c>
      <c r="D154">
        <v>122.20764883864287</v>
      </c>
    </row>
    <row r="155" spans="1:4" x14ac:dyDescent="0.35">
      <c r="A155" s="56" t="s">
        <v>171</v>
      </c>
      <c r="B155" s="58">
        <v>45823</v>
      </c>
      <c r="C155">
        <v>195.80595752256735</v>
      </c>
      <c r="D155">
        <v>130.29073790787101</v>
      </c>
    </row>
    <row r="156" spans="1:4" x14ac:dyDescent="0.35">
      <c r="A156" s="56" t="s">
        <v>171</v>
      </c>
      <c r="B156" s="58">
        <v>45830</v>
      </c>
      <c r="C156">
        <v>195.35242163235301</v>
      </c>
      <c r="D156">
        <v>117.34984205887396</v>
      </c>
    </row>
    <row r="157" spans="1:4" x14ac:dyDescent="0.35">
      <c r="A157" s="56" t="s">
        <v>171</v>
      </c>
      <c r="B157" s="58">
        <v>45837</v>
      </c>
      <c r="C157">
        <v>192.92034607340418</v>
      </c>
      <c r="D157">
        <v>116.62539231204123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F90BF-8674-4580-A0AD-20DE96D12CA0}">
  <sheetPr codeName="Sheet072"/>
  <dimension ref="A1:Z22"/>
  <sheetViews>
    <sheetView tabSelected="1" zoomScaleNormal="100" workbookViewId="0">
      <selection activeCell="B15" sqref="B15"/>
    </sheetView>
  </sheetViews>
  <sheetFormatPr defaultColWidth="10.6328125" defaultRowHeight="14.5" x14ac:dyDescent="0.35"/>
  <cols>
    <col min="1" max="1" width="23.81640625" style="8" bestFit="1" customWidth="1"/>
    <col min="2" max="2" width="21.1796875" style="8" bestFit="1" customWidth="1"/>
    <col min="3" max="3" width="27.26953125" style="8" bestFit="1" customWidth="1"/>
    <col min="4"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168</v>
      </c>
    </row>
    <row r="9" spans="1:26" x14ac:dyDescent="0.35">
      <c r="A9"/>
      <c r="B9" s="57" t="s">
        <v>154</v>
      </c>
      <c r="C9"/>
      <c r="D9"/>
      <c r="E9"/>
      <c r="F9"/>
      <c r="G9"/>
      <c r="H9"/>
    </row>
    <row r="10" spans="1:26" s="18" customFormat="1" x14ac:dyDescent="0.35">
      <c r="A10" s="57" t="s">
        <v>148</v>
      </c>
      <c r="B10" t="s">
        <v>166</v>
      </c>
      <c r="C10" t="s">
        <v>167</v>
      </c>
      <c r="D10" t="s">
        <v>178</v>
      </c>
      <c r="E10"/>
      <c r="F10"/>
      <c r="G10"/>
      <c r="H10"/>
    </row>
    <row r="11" spans="1:26" x14ac:dyDescent="0.35">
      <c r="A11" t="s">
        <v>181</v>
      </c>
      <c r="B11" s="56">
        <v>2.5688852754403622E-14</v>
      </c>
      <c r="C11" s="56">
        <v>2.5688852754403622E-14</v>
      </c>
      <c r="D11" s="56">
        <v>8.2668277791503204</v>
      </c>
      <c r="E11"/>
      <c r="F11"/>
      <c r="G11"/>
      <c r="H11"/>
    </row>
    <row r="12" spans="1:26" x14ac:dyDescent="0.35">
      <c r="A12" t="s">
        <v>182</v>
      </c>
      <c r="B12" s="56">
        <v>2.0769710737602927E-14</v>
      </c>
      <c r="C12" s="56">
        <v>0.12254776233202427</v>
      </c>
      <c r="D12" s="56">
        <v>9.1703274634896452</v>
      </c>
      <c r="E12"/>
      <c r="F12"/>
      <c r="G12"/>
      <c r="H12"/>
    </row>
    <row r="13" spans="1:26" x14ac:dyDescent="0.35">
      <c r="A13" t="s">
        <v>183</v>
      </c>
      <c r="B13" s="56">
        <v>21.34629371234319</v>
      </c>
      <c r="C13" s="56">
        <v>19.831546026236261</v>
      </c>
      <c r="D13" s="56">
        <v>22.395047219619414</v>
      </c>
      <c r="E13"/>
      <c r="F13"/>
      <c r="G13"/>
      <c r="H13"/>
    </row>
    <row r="14" spans="1:26" x14ac:dyDescent="0.35">
      <c r="A14" t="s">
        <v>184</v>
      </c>
      <c r="B14" s="56">
        <v>4.1921774620250538</v>
      </c>
      <c r="C14" s="56">
        <v>4.7804081124945919</v>
      </c>
      <c r="D14" s="56">
        <v>5.4990451409112273</v>
      </c>
      <c r="E14"/>
      <c r="F14"/>
      <c r="G14"/>
      <c r="H14"/>
    </row>
    <row r="15" spans="1:26" x14ac:dyDescent="0.35">
      <c r="A15" t="s">
        <v>185</v>
      </c>
      <c r="B15" s="56">
        <v>6.7242118610197394</v>
      </c>
      <c r="C15" s="56">
        <v>6.8696581107467631</v>
      </c>
      <c r="D15" s="56">
        <v>7.1464806939750396</v>
      </c>
      <c r="E15"/>
      <c r="F15"/>
      <c r="G15"/>
      <c r="H15"/>
    </row>
    <row r="16" spans="1:26" x14ac:dyDescent="0.35">
      <c r="A16" t="s">
        <v>186</v>
      </c>
      <c r="B16" s="56">
        <v>71.948252030005207</v>
      </c>
      <c r="C16" s="56">
        <v>49.506201956731452</v>
      </c>
      <c r="D16" s="56">
        <v>55.968120337625223</v>
      </c>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2770" r:id="rId6" name="Upd_Button">
              <controlPr defaultSize="0" print="0" autoFill="0" autoPict="0" macro="[0]!Upd_ets_forecast_error">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D21" sqref="D21"/>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t="shared" ref="G8:H8" ca="1" si="0">INDIRECT($B8&amp;"!"&amp;INDEX(G$2:G$5,$A8)&amp;$E8)</f>
        <v>#REF!</v>
      </c>
      <c r="H8" s="8" t="e">
        <f t="shared" ca="1" si="0"/>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25" priority="1" stopIfTrue="1">
      <formula>ISERROR(OFFSET($D$7,-1,0,1))</formula>
    </cfRule>
    <cfRule type="expression" dxfId="24"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3" t="s">
        <v>83</v>
      </c>
      <c r="B31" s="53"/>
      <c r="C31" s="53"/>
      <c r="D31" s="53"/>
      <c r="E31" s="53"/>
      <c r="F31" s="53"/>
      <c r="G31" s="53"/>
      <c r="H31" s="53"/>
      <c r="I31" s="53"/>
      <c r="J31" s="53"/>
      <c r="K31" s="53"/>
      <c r="L31" s="53"/>
      <c r="M31" s="53"/>
      <c r="N31" s="53"/>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21"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vt:i4>
      </vt:variant>
    </vt:vector>
  </HeadingPairs>
  <TitlesOfParts>
    <vt:vector size="24" baseType="lpstr">
      <vt:lpstr>Menu</vt:lpstr>
      <vt:lpstr>PARA</vt:lpstr>
      <vt:lpstr>ets_training_data</vt:lpstr>
      <vt:lpstr>ets_test_data</vt:lpstr>
      <vt:lpstr>ets_forecast_data</vt:lpstr>
      <vt:lpstr>ets_test_and_training_data</vt:lpstr>
      <vt:lpstr>ets_test_and_training_chart</vt:lpstr>
      <vt:lpstr>ets_forecast_data_table</vt:lpstr>
      <vt:lpstr>ets_forecast_error</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2025-07-21T10:45:32Z</dcterms:modified>
</cp:coreProperties>
</file>