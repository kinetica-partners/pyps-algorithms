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pivotTables/pivotTable1.xml" ContentType="application/vnd.openxmlformats-officedocument.spreadsheetml.pivotTable+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PyPS_Scheduling_Algorithms\excel\"/>
    </mc:Choice>
  </mc:AlternateContent>
  <xr:revisionPtr revIDLastSave="0" documentId="13_ncr:1_{67EF181B-C00C-465E-B732-DB94F907627A}" xr6:coauthVersionLast="47" xr6:coauthVersionMax="47" xr10:uidLastSave="{00000000-0000-0000-0000-000000000000}"/>
  <bookViews>
    <workbookView xWindow="-38510" yWindow="-110" windowWidth="38620" windowHeight="21100" tabRatio="845" firstSheet="1" activeTab="4" xr2:uid="{A2E59CFF-F12A-49C3-849B-D90F8117FF36}"/>
  </bookViews>
  <sheets>
    <sheet name="Menu" sheetId="2" r:id="rId1"/>
    <sheet name="PARA" sheetId="3" r:id="rId2"/>
    <sheet name="calendar_rules" sheetId="24" r:id="rId3"/>
    <sheet name="calendar_exceptions" sheetId="25" r:id="rId4"/>
    <sheet name="Schedule" sheetId="26" r:id="rId5"/>
    <sheet name="Query_Template" sheetId="4" r:id="rId6"/>
    <sheet name="Parameter_Template" sheetId="9" r:id="rId7"/>
    <sheet name="Stack_Template" sheetId="8" r:id="rId8"/>
    <sheet name="Table_Template" sheetId="5" r:id="rId9"/>
    <sheet name="Pivot_Template" sheetId="6" r:id="rId10"/>
    <sheet name="ModuleList_Template" sheetId="23" r:id="rId11"/>
    <sheet name="QuickReference" sheetId="21" r:id="rId12"/>
  </sheets>
  <functionGroups builtInGroupCount="19"/>
  <definedNames>
    <definedName name="calendar_exceptions_AllClear">OFFSET('calendar_exceptions'!$A$10,1,0,COUNTA('calendar_exceptions'!$A$10:$A$1048576),COUNTA('calendar_exceptions'!$10:$10))</definedName>
    <definedName name="calendar_exceptions_Clear">OFFSET('calendar_exceptions'!$I$10,1,0,MAX(COUNTA('calendar_exceptions'!$A$10:$A$1048576)-1,COUNTA('calendar_exceptions'!$I$10:$I$1048576)-1),MAX(COUNTA('calendar_exceptions'!$8:$8),1))</definedName>
    <definedName name="calendar_exceptions_Formulas">OFFSET('calendar_exceptions'!$I$8,0,0,1,MAX(COUNTA('calendar_exceptions'!$8:$8),1))</definedName>
    <definedName name="calendar_exceptions_Results">OFFSET('calendar_exceptions'!$I$10,1,0,MAX(COUNTA('calendar_exceptions'!$A$10:$A$1048576)-1,1),MAX(COUNTA('calendar_exceptions'!$8:$8),1))</definedName>
    <definedName name="calendar_exceptions_Table">OFFSET('calendar_exceptions'!$A$10,0,0,COUNTA('calendar_exceptions'!$A$10:$A$1048576),COUNTA('calendar_exceptions'!$10:$10))</definedName>
    <definedName name="calendar_rules_AllClear">OFFSET('calendar_rules'!$A$10,1,0,COUNTA('calendar_rules'!$A$10:$A$1048576),COUNTA('calendar_rules'!$10:$10))</definedName>
    <definedName name="calendar_rules_Clear">OFFSET('calendar_rules'!$F$10,1,0,MAX(COUNTA('calendar_rules'!$A$10:$A$1048576)-1,COUNTA('calendar_rules'!$F$10:$F$1048576)-1),MAX(COUNTA('calendar_rules'!$8:$8),1))</definedName>
    <definedName name="calendar_rules_Formulas">OFFSET('calendar_rules'!$F$8,0,0,1,MAX(COUNTA('calendar_rules'!$8:$8),1))</definedName>
    <definedName name="calendar_rules_Results">OFFSET('calendar_rules'!$F$10,1,0,MAX(COUNTA('calendar_rules'!$A$10:$A$1048576)-1,1),MAX(COUNTA('calendar_rules'!$8:$8),1))</definedName>
    <definedName name="calendar_rules_Table">OFFSET('calendar_rules'!$A$10,0,0,COUNTA('calendar_rules'!$A$10:$A$1048576),COUNTA('calendar_rules'!$10:$10))</definedName>
    <definedName name="EndRow" hidden="1">1048576</definedName>
    <definedName name="ExternalData_1" localSheetId="3" hidden="1">'calendar_exceptions'!$A$10:$F$30</definedName>
    <definedName name="ExternalData_1" localSheetId="2" hidden="1">'calendar_rules'!$A$10:$E$27</definedName>
    <definedName name="NoClean" localSheetId="0" hidden="1">TRUE</definedName>
    <definedName name="NoClean" localSheetId="1" hidden="1">TRUE</definedName>
    <definedName name="NoClean" localSheetId="6" hidden="1">TRUE</definedName>
    <definedName name="NoClean" localSheetId="11"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Prv_Sht">"Schedule"</definedName>
    <definedName name="Prv_Sht_1st">"Schedule"</definedName>
    <definedName name="Schedule_Clear">OFFSET(Schedule!$A$10,1,0, MAX(COUNTA(Schedule!$A$10:$A$1048576)-1,Schedule!$D$6),MAX(COUNTA(Schedule!$8:$8),1))</definedName>
    <definedName name="Schedule_Formulas">OFFSET(Schedule!$A$8,0,0,1,MAX(COUNTA(Schedule!$8:$8),1))</definedName>
    <definedName name="Schedule_Results">OFFSET(Schedule!$A$10,1,0,Schedule!$D$6,MAX(COUNTA(Schedule!$8:$8),1))</definedName>
    <definedName name="Schedule_Table">OFFSET(Schedule!$A$10,0,0,COUNTA(Schedule!$A$10:$A$1048576),COUNTA(Schedule!$10:$10))</definedName>
    <definedName name="SheetType" localSheetId="3" hidden="1">"Query"</definedName>
    <definedName name="SheetType" localSheetId="2" hidden="1">"Query"</definedName>
    <definedName name="SheetType" localSheetId="0" hidden="1">"Menu"</definedName>
    <definedName name="SheetType" localSheetId="10" hidden="1">"ModuleList"</definedName>
    <definedName name="SheetType" localSheetId="1" hidden="1">"Parameter"</definedName>
    <definedName name="SheetType" localSheetId="6" hidden="1">"Parameter"</definedName>
    <definedName name="SheetType" localSheetId="9" hidden="1">"Pivot"</definedName>
    <definedName name="SheetType" localSheetId="5" hidden="1">"Query"</definedName>
    <definedName name="SheetType" localSheetId="4" hidden="1">"Table"</definedName>
    <definedName name="SheetType" localSheetId="7" hidden="1">"Stack"</definedName>
    <definedName name="SheetType" localSheetId="8" hidden="1">"Table"</definedName>
    <definedName name="Table_Template_Clear">OFFSET(Table_Template!$A$10,1,0,MAX(COUNTA(Table_Template!$A$10:$A$1048576)-1,COUNTA(Table_Template!$A$10:$A$1048576)-1),MAX(COUNTA(Table_Template!$8:$8),1))</definedName>
    <definedName name="Table_Template_Formulas">OFFSET(Table_Template!$A$8,0,0,1,MAX(COUNTA(Table_Template!$8:$8),1))</definedName>
    <definedName name="Table_Template_Results">OFFSET(Table_Template!$A$10,1,0,MAX(COUNTA(Table_Template!$A$10:$A$1048576)-1,1),MAX(COUNTA(Table_Template!$8:$8),1))</definedName>
    <definedName name="Table_Template_Table">OFFSET(Table_Template!$A$10,0,0,COUNTA(Table_Template!$A$10:$A$1048576),COUNTA(Table_Template!$10:$10))</definedName>
  </definedNames>
  <calcPr calcId="191029"/>
  <pivotCaches>
    <pivotCache cacheId="0"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26" l="1"/>
  <c r="A20" i="26"/>
  <c r="B19" i="26"/>
  <c r="D19" i="26" s="1" a="1"/>
  <c r="D19" i="26" s="1"/>
  <c r="A19" i="26"/>
  <c r="B18" i="26"/>
  <c r="D18" i="26" s="1" a="1"/>
  <c r="D18" i="26" s="1"/>
  <c r="A18" i="26"/>
  <c r="B17" i="26"/>
  <c r="A17" i="26"/>
  <c r="B16" i="26"/>
  <c r="A16" i="26"/>
  <c r="B15" i="26"/>
  <c r="A15" i="26"/>
  <c r="B14" i="26"/>
  <c r="A14" i="26"/>
  <c r="B13" i="26"/>
  <c r="A13" i="26"/>
  <c r="B12" i="26"/>
  <c r="A12" i="26"/>
  <c r="B11" i="26"/>
  <c r="A11" i="26"/>
  <c r="B8" i="26"/>
  <c r="A8" i="26"/>
  <c r="R1" i="26"/>
  <c r="Q1" i="26"/>
  <c r="P1" i="26"/>
  <c r="O1" i="26"/>
  <c r="N1" i="26"/>
  <c r="M1" i="26"/>
  <c r="L1" i="26"/>
  <c r="K1" i="26"/>
  <c r="J1" i="26"/>
  <c r="I1" i="26"/>
  <c r="H1" i="26"/>
  <c r="G1" i="26"/>
  <c r="F1" i="26"/>
  <c r="E1" i="26"/>
  <c r="D1" i="26"/>
  <c r="C1" i="26"/>
  <c r="B1" i="26"/>
  <c r="A1" i="26"/>
  <c r="D11" i="26" l="1" a="1"/>
  <c r="D11" i="26" s="1"/>
  <c r="D16" i="26" a="1"/>
  <c r="D16" i="26" s="1"/>
  <c r="D13" i="26" a="1"/>
  <c r="D13" i="26" s="1"/>
  <c r="D20" i="26" a="1"/>
  <c r="D20" i="26" s="1"/>
  <c r="D12" i="26" a="1"/>
  <c r="D12" i="26" s="1"/>
  <c r="D14" i="26" a="1"/>
  <c r="D14" i="26" s="1"/>
  <c r="D15" i="26" a="1"/>
  <c r="D15" i="26" s="1"/>
  <c r="D17" i="26" a="1"/>
  <c r="D17" i="26" s="1"/>
  <c r="D8" i="26" a="1"/>
  <c r="D8" i="26" s="1"/>
  <c r="M1" i="25" l="1"/>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D4" i="8" l="1"/>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2" i="8"/>
  <c r="D3" i="8"/>
  <c r="C8" i="8" l="1"/>
  <c r="E8" i="8" s="1"/>
  <c r="B8" i="8"/>
  <c r="D6" i="8"/>
  <c r="D8" i="8"/>
  <c r="G8" i="8"/>
  <c r="F8" i="8"/>
  <c r="H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6A92AD-5EDC-4DE0-A489-7F8F0C37BCBB}" keepAlive="1" name="Query - calendar_exceptions" description="Connection to the 'calendar_exceptions' query in the workbook." type="5" refreshedVersion="8" background="1" saveData="1">
    <dbPr connection="Provider=Microsoft.Mashup.OleDb.1;Data Source=$Workbook$;Location=calendar_exceptions;Extended Properties=&quot;&quot;" command="SELECT * FROM [calendar_exceptions]"/>
  </connection>
  <connection id="2" xr16:uid="{DFCF4066-4024-4A87-9CBC-27B72993DD13}" keepAlive="1" name="Query - calendar_rules" description="Connection to the 'calendar_rules' query in the workbook." type="5" refreshedVersion="8" background="1" saveData="1">
    <dbPr connection="Provider=Microsoft.Mashup.OleDb.1;Data Source=$Workbook$;Location=calendar_rules;Extended Properties=&quot;&quot;" command="SELECT * FROM [calendar_rul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<sst xmlns="http://schemas.openxmlformats.org/spreadsheetml/2006/main" count="257" uniqueCount="171">
  <si>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</si>
  <si>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</si>
  <si>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</si>
  <si>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</si>
  <si>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</si>
  <si>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</si>
  <si>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</si>
  <si>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</si>
  <si>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</si>
  <si>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</si>
  <si>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</si>
  <si>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</si>
  <si>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</si>
  <si>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</si>
  <si>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</si>
  <si>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</si>
  <si>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</si>
  <si>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</si>
  <si>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</si>
  <si>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</si>
  <si>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</si>
  <si>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</si>
  <si>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</si>
  <si>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</si>
  <si>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</si>
  <si>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</si>
  <si>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</si>
  <si>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</si>
  <si>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</si>
  <si>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</si>
  <si>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</si>
  <si>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</si>
  <si>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</si>
  <si>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</si>
  <si>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</si>
  <si>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</si>
  <si>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</si>
  <si>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</si>
  <si>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</si>
  <si>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</si>
  <si>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</si>
  <si>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</si>
  <si>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</si>
  <si>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</si>
  <si>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</si>
  <si>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</si>
  <si>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</si>
  <si>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</si>
  <si>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</si>
  <si>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</si>
  <si>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</si>
  <si>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</si>
  <si>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</si>
  <si>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</si>
  <si>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</si>
  <si>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</si>
  <si>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</si>
  <si>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</si>
  <si>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</si>
  <si>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</si>
  <si>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</si>
  <si>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</si>
  <si>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</si>
  <si>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</si>
  <si>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</si>
  <si>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</si>
  <si>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</si>
  <si>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</si>
  <si>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</si>
  <si>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</si>
  <si>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</si>
  <si>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</si>
  <si>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</si>
  <si>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</si>
  <si>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</si>
  <si>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</si>
  <si>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</si>
  <si>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</si>
  <si>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</si>
  <si>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</si>
  <si>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</si>
  <si>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</si>
  <si>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</si>
  <si>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</si>
  <si>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</si>
  <si>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</si>
  <si>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</si>
  <si>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</si>
  <si>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</si>
  <si>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</si>
  <si>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</si>
  <si>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</si>
  <si>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</si>
  <si>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</si>
  <si>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</si>
  <si>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</si>
  <si>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</si>
  <si>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</si>
  <si>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</si>
  <si>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</si>
  <si>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</si>
  <si>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</si>
  <si>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</si>
  <si>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</si>
  <si>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</si>
  <si>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</si>
  <si>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</si>
  <si>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</si>
  <si>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</si>
  <si>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</si>
  <si>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</si>
  <si>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</si>
  <si>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</si>
  <si>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</si>
  <si>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</si>
  <si>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</si>
  <si>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</si>
  <si>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</si>
  <si>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</si>
  <si>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</si>
  <si>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</si>
  <si>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</si>
  <si>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</si>
  <si>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</si>
  <si>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</si>
  <si>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</si>
  <si>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</si>
  <si>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</si>
  <si>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</si>
  <si>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</si>
  <si>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</si>
  <si>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</si>
  <si>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</si>
  <si>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</si>
  <si>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</si>
  <si>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</si>
  <si>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</si>
  <si>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</si>
  <si>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</si>
  <si>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</si>
  <si>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</si>
  <si>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</si>
  <si>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</si>
  <si>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C:\P-S_Test\Data</t>
  </si>
  <si>
    <t>L:\P-S_Test\Data</t>
  </si>
  <si>
    <t>DevTemplate_Professional_v4.4.16.xlsm</t>
  </si>
  <si>
    <t>PARA_User_Folder</t>
  </si>
  <si>
    <t>C:\Users\KienLeong</t>
  </si>
  <si>
    <t>id</t>
  </si>
  <si>
    <t>calendar_id</t>
  </si>
  <si>
    <t>weekday</t>
  </si>
  <si>
    <t>start_time</t>
  </si>
  <si>
    <t>end_time</t>
  </si>
  <si>
    <t>calA</t>
  </si>
  <si>
    <t>Mon</t>
  </si>
  <si>
    <t>Tue</t>
  </si>
  <si>
    <t>Wed</t>
  </si>
  <si>
    <t>Thu</t>
  </si>
  <si>
    <t>Fri</t>
  </si>
  <si>
    <t>calB</t>
  </si>
  <si>
    <t>calC</t>
  </si>
  <si>
    <t>Sat</t>
  </si>
  <si>
    <t>Sun</t>
  </si>
  <si>
    <t>date</t>
  </si>
  <si>
    <t>is_working</t>
  </si>
  <si>
    <t>Hours</t>
  </si>
  <si>
    <t>StartDateTime</t>
  </si>
  <si>
    <t>StopDateTime</t>
  </si>
  <si>
    <t>Automation ON</t>
  </si>
  <si>
    <t>CalendarID</t>
  </si>
  <si>
    <t>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</si>
</sst>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h:mm:ss;@"/>
    <numFmt numFmtId="166" formatCode="dd\ mmm\ yy\ hh:mm\ AM/PM"/>
    <numFmt numFmtId="167" formatCode="[$-F400]h:mm:ss\ AM/PM"/>
  </numFmts>
  <fonts count="34" x14ac:knownFonts="1">
    <font>
      <sz val="11"/>
      <color theme="1"/>
      <name val="Calibri"/>
      <family val="2"/>
      <scheme val="minor"/>
    </font>
    <font>
      <sz val="11"/>
      <color theme="1"/>
      <name val="Calibri"/>
      <family val="2"/>
      <scheme val="minor"/>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b/>
      <i/>
      <sz val="11"/>
      <color indexed="8"/>
      <name val="Calibri"/>
      <family val="2"/>
    </font>
    <font>
      <sz val="11"/>
      <color theme="9"/>
      <name val="Calibri"/>
      <family val="2"/>
      <scheme val="minor"/>
    </font>
    <font>
      <sz val="11"/>
      <color rgb="FFFF0000"/>
      <name val="Calibri"/>
      <family val="2"/>
    </font>
    <font>
      <sz val="11"/>
      <color rgb="FF000000"/>
      <name val="Calibri"/>
      <family val="2"/>
    </font>
    <font>
      <sz val="13"/>
      <color rgb="FF000000"/>
      <name val="Calibri"/>
      <family val="2"/>
    </font>
    <font>
      <sz val="14"/>
      <color rgb="FF000000"/>
      <name val="Calibri"/>
      <family val="2"/>
    </font>
    <font>
      <sz val="12"/>
      <color rgb="FF000000"/>
      <name val="Calibri"/>
      <family val="2"/>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4">
    <xf numFmtId="0" fontId="0" fillId="0" borderId="0"/>
    <xf numFmtId="164" fontId="3" fillId="0" borderId="0"/>
    <xf numFmtId="0" fontId="1" fillId="0" borderId="0"/>
    <xf numFmtId="0" fontId="2" fillId="0" borderId="0"/>
  </cellStyleXfs>
  <cellXfs count="59">
    <xf numFmtId="0" fontId="0" fillId="0" borderId="0" xfId="0"/>
    <xf numFmtId="164" fontId="3" fillId="0" borderId="0" xfId="1"/>
    <xf numFmtId="0" fontId="1" fillId="0" borderId="0" xfId="2"/>
    <xf numFmtId="164" fontId="4" fillId="0" borderId="0" xfId="1" applyFont="1"/>
    <xf numFmtId="0" fontId="5" fillId="0" borderId="0" xfId="2" applyFont="1" applyAlignment="1">
      <alignment vertical="center"/>
    </xf>
    <xf numFmtId="0" fontId="6" fillId="0" borderId="0" xfId="2" applyFont="1"/>
    <xf numFmtId="0" fontId="1" fillId="0" borderId="1" xfId="2" applyBorder="1"/>
    <xf numFmtId="166" fontId="1" fillId="0" borderId="1" xfId="2" applyNumberFormat="1" applyBorder="1" applyAlignment="1">
      <alignment horizontal="center"/>
    </xf>
    <xf numFmtId="0" fontId="2" fillId="0" borderId="0" xfId="3"/>
    <xf numFmtId="166" fontId="1" fillId="0" borderId="1" xfId="2" applyNumberFormat="1" applyBorder="1" applyAlignment="1">
      <alignment horizontal="left"/>
    </xf>
    <xf numFmtId="0" fontId="8" fillId="0" borderId="0" xfId="2" applyFont="1"/>
    <xf numFmtId="0" fontId="9" fillId="0" borderId="0" xfId="3" applyFont="1" applyAlignment="1">
      <alignment horizontal="center"/>
    </xf>
    <xf numFmtId="0" fontId="10" fillId="0" borderId="0" xfId="3" applyFont="1"/>
    <xf numFmtId="0" fontId="12" fillId="0" borderId="0" xfId="3" applyFont="1" applyAlignment="1">
      <alignment vertical="top" wrapText="1"/>
    </xf>
    <xf numFmtId="0" fontId="12" fillId="3" borderId="0" xfId="3" applyFont="1" applyFill="1" applyAlignment="1">
      <alignment vertical="top" wrapText="1"/>
    </xf>
    <xf numFmtId="0" fontId="2" fillId="4" borderId="2" xfId="3" applyFill="1" applyBorder="1" applyAlignment="1">
      <alignment horizontal="right"/>
    </xf>
    <xf numFmtId="0" fontId="2" fillId="0" borderId="2" xfId="3" applyBorder="1"/>
    <xf numFmtId="49" fontId="12" fillId="5" borderId="0" xfId="3" applyNumberFormat="1" applyFont="1" applyFill="1" applyAlignment="1">
      <alignment vertical="top" wrapText="1"/>
    </xf>
    <xf numFmtId="0" fontId="13" fillId="0" borderId="0" xfId="3" applyFont="1" applyAlignment="1">
      <alignment vertical="top" wrapText="1"/>
    </xf>
    <xf numFmtId="0" fontId="12" fillId="0" borderId="0" xfId="3" applyFont="1"/>
    <xf numFmtId="3" fontId="2" fillId="0" borderId="0" xfId="3" applyNumberFormat="1"/>
    <xf numFmtId="0" fontId="2" fillId="4" borderId="2" xfId="3" applyFill="1" applyBorder="1"/>
    <xf numFmtId="3" fontId="2" fillId="4" borderId="2" xfId="3" applyNumberFormat="1" applyFill="1" applyBorder="1"/>
    <xf numFmtId="49" fontId="12" fillId="6" borderId="0" xfId="3" applyNumberFormat="1" applyFont="1" applyFill="1" applyAlignment="1">
      <alignment vertical="top" wrapText="1"/>
    </xf>
    <xf numFmtId="0" fontId="1" fillId="0" borderId="0" xfId="2" applyAlignment="1">
      <alignment wrapText="1"/>
    </xf>
    <xf numFmtId="164" fontId="14" fillId="0" borderId="0" xfId="1" applyFont="1" applyAlignment="1">
      <alignment horizontal="center" vertical="center"/>
    </xf>
    <xf numFmtId="0" fontId="15" fillId="0" borderId="0" xfId="2" applyFont="1"/>
    <xf numFmtId="0" fontId="18" fillId="0" borderId="0" xfId="0" applyFont="1"/>
    <xf numFmtId="0" fontId="19" fillId="0" borderId="0" xfId="0" applyFont="1"/>
    <xf numFmtId="0" fontId="0" fillId="0" borderId="0" xfId="0" quotePrefix="1"/>
    <xf numFmtId="0" fontId="0" fillId="0" borderId="0" xfId="0" applyAlignment="1">
      <alignment horizontal="right"/>
    </xf>
    <xf numFmtId="49" fontId="20" fillId="0" borderId="0" xfId="0" applyNumberFormat="1" applyFont="1"/>
    <xf numFmtId="0" fontId="20" fillId="0" borderId="0" xfId="0" applyFont="1"/>
    <xf numFmtId="0" fontId="16" fillId="0" borderId="0" xfId="0" applyFont="1"/>
    <xf numFmtId="22" fontId="2" fillId="0" borderId="0" xfId="3" applyNumberFormat="1"/>
    <xf numFmtId="49" fontId="11" fillId="7" borderId="0" xfId="3" applyNumberFormat="1" applyFont="1" applyFill="1" applyAlignment="1">
      <alignment vertical="top" wrapText="1"/>
    </xf>
    <xf numFmtId="0" fontId="23" fillId="0" borderId="0" xfId="0" applyFont="1"/>
    <xf numFmtId="0" fontId="12" fillId="5" borderId="0" xfId="3" applyFont="1" applyFill="1" applyAlignment="1">
      <alignment vertical="top" wrapText="1"/>
    </xf>
    <xf numFmtId="0" fontId="16" fillId="0" borderId="0" xfId="2" applyFont="1" applyAlignment="1">
      <alignment vertical="top" wrapText="1"/>
    </xf>
    <xf numFmtId="0" fontId="11" fillId="2" borderId="0" xfId="3" applyFont="1" applyFill="1" applyAlignment="1">
      <alignment vertical="top" wrapText="1"/>
    </xf>
    <xf numFmtId="0" fontId="25" fillId="0" borderId="0" xfId="3" applyFont="1"/>
    <xf numFmtId="49" fontId="25" fillId="0" borderId="0" xfId="3" applyNumberFormat="1" applyFont="1" applyAlignment="1">
      <alignment vertical="top" wrapText="1"/>
    </xf>
    <xf numFmtId="0" fontId="25" fillId="0" borderId="0" xfId="3" applyFont="1" applyAlignment="1">
      <alignment horizontal="center"/>
    </xf>
    <xf numFmtId="0" fontId="7" fillId="0" borderId="0" xfId="3" applyFont="1"/>
    <xf numFmtId="14" fontId="7" fillId="0" borderId="0" xfId="3" applyNumberFormat="1" applyFont="1"/>
    <xf numFmtId="0" fontId="26" fillId="0" borderId="0" xfId="3" applyFont="1"/>
    <xf numFmtId="22" fontId="7" fillId="0" borderId="1" xfId="2" applyNumberFormat="1" applyFont="1" applyBorder="1"/>
    <xf numFmtId="0" fontId="25" fillId="0" borderId="1" xfId="2" applyFont="1" applyBorder="1"/>
    <xf numFmtId="0" fontId="3" fillId="0" borderId="0" xfId="1" applyNumberFormat="1"/>
    <xf numFmtId="0" fontId="24" fillId="0" borderId="0" xfId="1" applyNumberFormat="1" applyFont="1" applyAlignment="1">
      <alignment vertical="top" wrapText="1"/>
    </xf>
    <xf numFmtId="0" fontId="3" fillId="0" borderId="0" xfId="1" applyNumberFormat="1" applyAlignment="1">
      <alignment wrapText="1"/>
    </xf>
    <xf numFmtId="165" fontId="8" fillId="0" borderId="1" xfId="2" applyNumberFormat="1" applyFont="1" applyBorder="1" applyAlignment="1">
      <alignment horizontal="center"/>
    </xf>
    <xf numFmtId="0" fontId="7" fillId="0" borderId="1" xfId="2" applyFont="1" applyBorder="1"/>
    <xf numFmtId="167" fontId="2" fillId="0" borderId="0" xfId="3" applyNumberFormat="1"/>
    <xf numFmtId="14" fontId="2" fillId="0" borderId="0" xfId="3" applyNumberFormat="1"/>
    <xf numFmtId="49" fontId="27" fillId="5" borderId="0" xfId="3" applyNumberFormat="1" applyFont="1" applyFill="1" applyAlignment="1">
      <alignment vertical="top" wrapText="1"/>
    </xf>
    <xf numFmtId="0" fontId="28" fillId="0" borderId="0" xfId="2" applyFont="1" applyAlignment="1">
      <alignment horizontal="center"/>
    </xf>
    <xf numFmtId="0" fontId="29" fillId="0" borderId="0" xfId="3" applyFont="1"/>
    <xf numFmtId="0" fontId="0" fillId="0" borderId="0" xfId="0" applyAlignment="1">
      <alignment horizontal="left" vertical="top" wrapText="1"/>
    </xf>
  </cellXfs>
  <cellStyles count="4">
    <cellStyle name="Normal" xfId="0" builtinId="0"/>
    <cellStyle name="Normal 2" xfId="1" xr:uid="{9E556F55-F0E0-4725-AEA9-356252104FC6}"/>
    <cellStyle name="Normal 3" xfId="2" xr:uid="{6CF962F7-D630-4A9E-9883-B0AB1E937E57}"/>
    <cellStyle name="Normal 4" xfId="3" xr:uid="{15D23F96-4B7F-4A0C-BB23-FF8280CA562B}"/>
  </cellStyles>
  <dxfs count="14">
    <dxf>
      <font>
        <color theme="0" tint="-0.24994659260841701"/>
      </font>
    </dxf>
    <dxf>
      <font>
        <color theme="0" tint="-0.24994659260841701"/>
      </font>
    </dxf>
    <dxf>
      <font>
        <color theme="0" tint="-0.24994659260841701"/>
      </font>
    </dxf>
    <dxf>
      <font>
        <color theme="0" tint="-0.24994659260841701"/>
      </font>
    </dxf>
    <dxf>
      <numFmt numFmtId="167" formatCode="[$-F400]h:mm:ss\ AM/PM"/>
    </dxf>
    <dxf>
      <numFmt numFmtId="167" formatCode="[$-F400]h:mm:ss\ AM/PM"/>
    </dxf>
    <dxf>
      <numFmt numFmtId="19" formatCode="yyyy/mm/dd"/>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numFmt numFmtId="167" formatCode="[$-F400]h:mm:ss\ AM/PM"/>
    </dxf>
    <dxf>
      <numFmt numFmtId="167" formatCode="[$-F400]h:mm:ss\ AM/PM"/>
    </dxf>
    <dxf>
      <numFmt numFmtId="0" formatCode="General"/>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23/09/relationships/Python" Target="pyth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7649" name="Create_Button"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7650" name="Upd_Button" hidden="1">
              <a:extLst>
                <a:ext uri="{63B3BB69-23CF-44E3-9099-C40C66FF867C}">
                  <a14:compatExt spid="_x0000_s27650"/>
                </a:ext>
                <a:ext uri="{FF2B5EF4-FFF2-40B4-BE49-F238E27FC236}">
                  <a16:creationId xmlns:a16="http://schemas.microsoft.com/office/drawing/2014/main" id="{00000000-0008-0000-0300-000002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28673" name="Create_Button"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28674" name="Upd_Button" hidden="1">
              <a:extLst>
                <a:ext uri="{63B3BB69-23CF-44E3-9099-C40C66FF867C}">
                  <a14:compatExt spid="_x0000_s28674"/>
                </a:ext>
                <a:ext uri="{FF2B5EF4-FFF2-40B4-BE49-F238E27FC236}">
                  <a16:creationId xmlns:a16="http://schemas.microsoft.com/office/drawing/2014/main" id="{00000000-0008-0000-0400-000002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3</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400-000003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Live Formula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0</xdr:rowOff>
        </xdr:from>
        <xdr:to>
          <xdr:col>8</xdr:col>
          <xdr:colOff>0</xdr:colOff>
          <xdr:row>3</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400-000004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with timer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6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589.687693749998"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C:\Users\Kien Leong\Kinetica Partners\Kinetica - Test Excel Sharing\Test_IPS\Data"/>
  </r>
  <r>
    <s v="PARA_FilePath_Archive"/>
    <s v="C:\P-S_Test\Archive"/>
  </r>
  <r>
    <s v="PARA_FilePath_Data_Local"/>
    <s v="C:\P-S_Test\Data"/>
  </r>
  <r>
    <s v="PARA_FilePath_Input_Local"/>
    <s v="C:\P-S_Test\Input"/>
  </r>
  <r>
    <s v="PARA_FilePath_Modules"/>
    <s v="C:\P-S_Test"/>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0"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9ECB3440-B592-4B2E-9FC5-37112C857040}" autoFormatId="16" applyNumberFormats="0" applyBorderFormats="0" applyFontFormats="0" applyPatternFormats="0" applyAlignmentFormats="0" applyWidthHeightFormats="0">
  <queryTableRefresh nextId="6">
    <queryTableFields count="5">
      <queryTableField id="1" name="id" tableColumnId="1"/>
      <queryTableField id="2" name="calendar_id" tableColumnId="2"/>
      <queryTableField id="3" name="weekday" tableColumnId="3"/>
      <queryTableField id="4" name="start_time" tableColumnId="4"/>
      <queryTableField id="5" name="end_tim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4D31807-F954-4441-9F4A-0B23B2C29C35}" autoFormatId="16" applyNumberFormats="0" applyBorderFormats="0" applyFontFormats="0" applyPatternFormats="0" applyAlignmentFormats="0" applyWidthHeightFormats="0">
  <queryTableRefresh nextId="7">
    <queryTableFields count="6">
      <queryTableField id="1" name="id" tableColumnId="1"/>
      <queryTableField id="2" name="calendar_id" tableColumnId="2"/>
      <queryTableField id="3" name="date" tableColumnId="3"/>
      <queryTableField id="4" name="start_time" tableColumnId="4"/>
      <queryTableField id="5" name="end_time" tableColumnId="5"/>
      <queryTableField id="6" name="is_working"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01E195-007A-4A0D-BBE8-0718893BCF7F}" name="calendar_rules" displayName="calendar_rules" ref="A10:E27" tableType="queryTable" totalsRowShown="0" headerRowDxfId="13" headerRowCellStyle="Normal 4" dataCellStyle="Normal 4">
  <autoFilter ref="A10:E27" xr:uid="{6E01E195-007A-4A0D-BBE8-0718893BCF7F}"/>
  <tableColumns count="5">
    <tableColumn id="1" xr3:uid="{6D8074F4-B518-4B99-B23C-92F5DC580E71}" uniqueName="1" name="id" queryTableFieldId="1" dataCellStyle="Normal 4"/>
    <tableColumn id="2" xr3:uid="{5148DDE8-6401-42B4-AC4C-1822D99E85BF}" uniqueName="2" name="calendar_id" queryTableFieldId="2" dataDxfId="12" dataCellStyle="Normal 4"/>
    <tableColumn id="3" xr3:uid="{C84A3981-DB96-4A9E-9C8B-32FA6FC34481}" uniqueName="3" name="weekday" queryTableFieldId="3" dataDxfId="11" dataCellStyle="Normal 4"/>
    <tableColumn id="4" xr3:uid="{1DB5FD50-A66B-45A3-89D2-2279E36068E4}" uniqueName="4" name="start_time" queryTableFieldId="4" dataDxfId="10" dataCellStyle="Normal 4"/>
    <tableColumn id="5" xr3:uid="{D68D4C0C-64DB-46D5-9967-6015DC4A6E37}" uniqueName="5" name="end_time" queryTableFieldId="5" dataDxfId="9"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4AC65F-C3AD-41F1-8BEF-E4D451F22A63}" name="calendar_exceptions" displayName="calendar_exceptions" ref="A10:F30" tableType="queryTable" totalsRowShown="0" headerRowDxfId="8" headerRowCellStyle="Normal 4" dataCellStyle="Normal 4">
  <autoFilter ref="A10:F30" xr:uid="{A54AC65F-C3AD-41F1-8BEF-E4D451F22A63}"/>
  <tableColumns count="6">
    <tableColumn id="1" xr3:uid="{A21D8F0A-4063-48D6-B834-273F47029E36}" uniqueName="1" name="id" queryTableFieldId="1" dataCellStyle="Normal 4"/>
    <tableColumn id="2" xr3:uid="{5602D2D8-A65C-43FF-A71C-77D85179417D}" uniqueName="2" name="calendar_id" queryTableFieldId="2" dataDxfId="7" dataCellStyle="Normal 4"/>
    <tableColumn id="3" xr3:uid="{6ECBAEB2-509F-49C3-9F4A-5EA6CD535436}" uniqueName="3" name="date" queryTableFieldId="3" dataDxfId="6" dataCellStyle="Normal 4"/>
    <tableColumn id="4" xr3:uid="{B1BDD5B3-A52E-42A9-8D6F-5E3B4120CAD9}" uniqueName="4" name="start_time" queryTableFieldId="4" dataDxfId="5" dataCellStyle="Normal 4"/>
    <tableColumn id="5" xr3:uid="{186A20B9-A225-41FC-9F0C-E35B5A7481ED}" uniqueName="5" name="end_time" queryTableFieldId="5" dataDxfId="4" dataCellStyle="Normal 4"/>
    <tableColumn id="6" xr3:uid="{06D32B1E-DA48-47E7-9F74-1648A6111B60}" uniqueName="6" name="is_working" queryTableFieldId="6" dataCellStyle="Normal 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34031B5A-0A42-4D8F-8A67-BD4E3E39515C}">
  <we:reference id="wa200008175" version="1.0.0.0" store="en-US" storeType="OMEX"/>
  <we:alternateReferences>
    <we:reference id="wa200008175" version="1.0.0.0" store="" storeType="OMEX"/>
  </we:alternateReferences>
  <we:properties>
    <we:property name="main.py" value="&quot;\&quot;\&quot;\&quot;\nxlwings lite working calendar module - Phase 1 Manual Implementation\n\nThis module is completely self-contained with no internal dependencies,\ndesigned for xlwings Excel integration. All core algorithmic functions\nare duplicated from src\/working_calendar.py to ensure consistency.\n\&quot;\&quot;\&quot;\n\nimport pandas as pd\nfrom datetime import datetime, timedelta, time, date\nfrom bisect import bisect_right\nfrom typing import List, Dict, Tuple, Optional\nimport xlwings as xw\nfrom xlwings import func, arg\nimport os\n\n# --- Excel Utility Functions ---\n\ndef excel_time_to_string(excel_time) -&gt; str:\n    \&quot;\&quot;\&quot;Convert Excel time serial number to HH:MM format.\&quot;\&quot;\&quot;\n    if isinstance(excel_time, (int, float)):\n        # Excel time is fraction of a day (0.375 = 9:00 AM)\n        # Add small epsilon to handle floating point precision issues\n        total_minutes = round(excel_time * 24 * 60)\n        hours = total_minutes \/\/ 60\n        minutes = total_minutes % 60\n        return f\&quot;{hours:02d}:{minutes:02d}\&quot;\n    else:\n        # Already a string, return as-is\n        return str(excel_time)\n\ndef excel_boolean_to_python(excel_bool) -&gt; bool:\n    \&quot;\&quot;\&quot;Convert Excel boolean value to Python boolean.\&quot;\&quot;\&quot;\n    if isinstance(excel_bool, bool):\n        return excel_bool\n    elif isinstance(excel_bool, (int, float)):\n        return bool(excel_bool)  # 1 → True, 0 → False\n    elif isinstance(excel_bool, str):\n        # Handle string boolean values from Excel\n        excel_bool_lower = excel_bool.lower().strip()\n        if excel_bool_lower in ('true', '1', 'yes', 'on'):\n            return True\n        elif excel_bool_lower in ('false', '0', 'no', 'off', ''):\n            return False\n        else:\n            # Default to False for unknown string values\n            return False\n    else:\n        # Default to False for unknown types\n        return False\n\ndef datetime_to_excel(dt: datetime) -&gt; float:\n    \&quot;\&quot;\&quot;Convert Python datetime to Excel date\/time format (float).\&quot;\&quot;\&quot;\n    # Excel's epoch starts at 1899-12-30\n    excel_epoch = datetime(1899, 12, 30)\n    delta = dt - excel_epoch\n    return float(delta.days) + (delta.seconds + delta.microseconds \/ 1e6) \/ 86400\n\ndef parse_time_string(time_string) -&gt; Optional[time]:\n    \&quot;\&quot;\&quot;Parse time string in HH:MM format to time object, handling Excel time serial numbers.\&quot;\&quot;\&quot;\n    if not pd.notnull(time_string) or time_string == '':\n        return None\n    \n    try:\n        # If it's a number (Excel time serial), convert to HH:MM first\n        if isinstance(time_string, (int, float)):\n            converted_time = excel_time_to_string(time_string)\n            return datetime.strptime(converted_time, \&quot;%H:%M\&quot;).time()\n        \n        # Parse as HH:MM format\n        time_string = str(time_string)\n        return datetime.strptime(time_string, \&quot;%H:%M\&quot;).time()\n    except ValueError as e:\n        raise ValueError(f\&quot;Invalid time format: {time_string}. Expected HH:MM format or Excel time serial number. Error: {e}\&quot;)\n\n# --- Core Calendar Functions ---\n\ndef load_calendar_rules(rules_dataframe: pd.DataFrame) -&gt; Dict[str, Dict[int, List[Tuple[time, time]]]]:\n    \&quot;\&quot;\&quot;Load calendar rules from dataframe into structured format.\&quot;\&quot;\&quot;\n    if rules_dataframe.empty:\n        return {}\n    \n    weekday_to_number = {\&quot;Mon\&quot;: 0, \&quot;Tue\&quot;: 1, \&quot;Wed\&quot;: 2, \&quot;Thu\&quot;: 3, \&quot;Fri\&quot;: 4, \&quot;Sat\&quot;: 5, \&quot;Sun\&quot;: 6}\n    calendar_rules = {}\n    \n    for _, row in rules_dataframe.iterrows():\n        calendar_id = str(row['calendar_id']).lower()\n        weekday_number = weekday_to_number[str(row['weekday'])]\n        \n        # Initialize calendar if not exists\n        calendar_rules.setdefault(calendar_id, {day: [] for day in range(7)})\n        \n        # Add working period if both times are valid\n        start_time_val = row['start_time']\n        end_time_val = row['end_time']\n        if pd.notnull(start_time_val) and pd.notnull(end_time_val):\n            start_time = parse_time_string(start_time_val)\n            end_time = parse_time_string(end_time_val)\n            if start_time and end_time:\n                calendar_rules[calendar_id][weekday_number].append((start_time, end_time))\n    \n    return calendar_rules\n\ndef load_calendar_exceptions(exceptions_dataframe: pd.DataFrame) -&gt; Dict[str, Dict[str, List[Tuple[time, time, bool]]]]:\n    \&quot;\&quot;\&quot;Load calendar exceptions from dataframe into structured format.\&quot;\&quot;\&quot;\n    if exceptions_dataframe.empty:\n        return {}\n    \n    calendar_exceptions = {}\n    \n    for _, row in exceptions_dataframe.iterrows():\n        calendar_id = str(row['calendar_id']).lower()\n        date_str = str(row['date'])\n        is_working = excel_boolean_to_python(row['is_working'])\n        \n        # Initialize calendar if not exists\n        calendar_exceptions.setdefault(calendar_id, {})\n        \n        if is_working:\n            # Working day exception - add specific working hours\n            start_time_val = row['start_time']\n            end_time_val = row['end_time']\n            if pd.notnull(start_time_val) and pd.notnull(end_time_val):\n                start_time = parse_time_string(start_time_val)\n                end_time = parse_time_string(end_time_val)\n                if start_time and end_time:\n                    calendar_exceptions[calendar_id].setdefault(date_str, []).append((start_time, end_time, True))\n        else:\n            # Non-working day exception\n            calendar_exceptions[calendar_id][date_str] = [(time(0, 0), time(0, 0), False)]\n    \n    return calendar_exceptions\n\ndef periods_overlap(period1_start: time, period1_end: time, period2_start: time, period2_end: time) -&gt; bool:\n    \&quot;\&quot;\&quot;Check if two time periods overlap.\&quot;\&quot;\&quot;\n    return not (period1_end &lt;= period2_start or period1_start &gt;= period2_end)\n\ndef split_working_period_by_exception(\n    working_period: Tuple[time, time],\n    exception_period: Tuple[time, time]\n) -&gt; List[Tuple[time, time]]:\n    \&quot;\&quot;\&quot;Split a working period by removing an exception period.\&quot;\&quot;\&quot;\n    work_start, work_end = working_period\n    exception_start, exception_end = exception_period\n    \n    if not periods_overlap(work_start, work_end, exception_start, exception_end):\n        # No overlap, return original period\n        return [(work_start, work_end)]\n    \n    # There's overlap, split the working period\n    result = []\n    \n    # Add the part before the exception period\n    if work_start &lt; exception_start:\n        result.append((work_start, exception_start))\n    \n    # Add the part after the exception period\n    if exception_end &lt; work_end:\n        result.append((exception_end, work_end))\n    \n    return result\n\ndef subtract_non_working_exceptions(\n    working_periods: List[Tuple[time, time]],\n    non_working_exceptions: List[Tuple[time, time]]\n) -&gt; List[Tuple[time, time]]:\n    \&quot;\&quot;\&quot;Remove non-working exception periods from working periods.\&quot;\&quot;\&quot;\n    result_periods = working_periods.copy()\n    \n    for exception_period in non_working_exceptions:\n        new_periods = []\n        for working_period in result_periods:\n            new_periods.extend(split_working_period_by_exception(working_period, exception_period))\n        result_periods = new_periods\n    \n    return result_periods\n\ndef add_non_overlapping_working_exceptions(\n    working_periods: List[Tuple[time, time]],\n    working_exceptions: List[Tuple[time, time]]\n) -&gt; List[Tuple[time, time]]:\n    \&quot;\&quot;\&quot;Add working exceptions that don't overlap with existing working periods.\&quot;\&quot;\&quot;\n    result_periods = working_periods.copy()\n    \n    for exception_start, exception_end in working_exceptions:\n        # Check if this working exception overlaps with any existing working period\n        has_overlap = any(\n            periods_overlap(exception_start, exception_end, existing_start, existing_end)\n            for existing_start, existing_end in result_periods\n        )\n        \n        if not has_overlap:\n            # No overlap, add this working exception\n            result_periods.append((exception_start, exception_end))\n    \n    return result_periods\n\ndef get_working_periods_for_day(\n    day: date,\n    calendar_id: str,\n    rules: Dict[str, Dict[int, List[Tuple[time, time]]]],\n    exceptions: Dict[str, Dict[str, List[Tuple[time, time, bool]]]]\n) -&gt; List[Tuple[time, time]]:\n    \&quot;\&quot;\&quot;Get working periods for a specific day, applying calendar rules and exceptions.\&quot;\&quot;\&quot;\n    date_string = day.strftime(\&quot;%Y-%m-%d\&quot;)\n    calendar_exceptions = exceptions.get(calendar_id, {})\n    \n    # Start with regular working periods for this day\n    base_working_periods = rules.get(calendar_id, {}).get(day.weekday(), [])\n    \n    if date_string not in calendar_exceptions:\n        # No exceptions, return regular periods\n        return base_working_periods\n    \n    # There are exceptions for this day\n    day_exceptions = calendar_exceptions[date_string]\n    \n    # Separate working and non-working exceptions\n    working_exceptions = [(start, end) for start, end, is_working in day_exceptions if is_working]\n    non_working_exceptions = [(start, end) for start, end, is_working in day_exceptions if not is_working]\n    \n    # Process exceptions\n    result_periods = subtract_non_working_exceptions(base_working_periods, non_working_exceptions)\n    result_periods = add_non_overlapping_working_exceptions(result_periods, working_exceptions)\n    \n    # Sort periods by start time\n    result_periods.sort(key=lambda x: x[0])\n    \n    return result_periods\n\ndef build_working_intervals(\n    rules: Dict[str, Dict[int, List[Tuple[time, time]]]],\n    exceptions: Dict[str, Dict[str, List[Tuple[time, time, bool]]]],\n    calendar_id: str,\n    start_date: date,\n    end_date: date\n) -&gt; List[Tuple[datetime, datetime, int]]:\n    \&quot;\&quot;\&quot;Build working intervals for a date range with performance optimizations.\&quot;\&quot;\&quot;\n    intervals = []\n    total_minutes = 0\n    \n    # Pre-fetch calendar data to avoid repeated lookups\n    calendar_rules = rules.get(calendar_id, {})\n    calendar_exceptions = exceptions.get(calendar_id, {})\n    \n    # Pre-calculate common time differences to avoid repeated calculations\n    time_to_minutes_cache = {}\n    \n    def get_time_difference_minutes(start_time: time, end_time: time) -&gt; int:\n        \&quot;\&quot;\&quot;Get cached time difference in minutes.\&quot;\&quot;\&quot;\n        key = (start_time, end_time)\n        if key not in time_to_minutes_cache:\n            # Calculate using direct time arithmetic instead of datetime\n            start_minutes = start_time.hour * 60 + start_time.minute\n            end_minutes = end_time.hour * 60 + end_time.minute\n            \n            # Handle overnight shifts that span midnight\n            if end_minutes &lt;= start_minutes:\n                # Shift spans midnight: calculate as (24:00 - start) + (end - 00:00)\n                duration = (24 * 60 - start_minutes) + end_minutes\n            else:\n                # Normal shift within the same day\n                duration = end_minutes - start_minutes\n            \n            time_to_minutes_cache[key] = duration\n        return time_to_minutes_cache[key]\n    \n    # Batch process all days\n    current_date = start_date\n    while current_date &lt;= end_date:\n        # Get base working periods for this weekday\n        base_periods = calendar_rules.get(current_date.weekday(), [])\n        \n        # Check for exceptions on this specific date (cache date string)\n        date_string = current_date.strftime(\&quot;%Y-%m-%d\&quot;)\n        if date_string in calendar_exceptions:\n            # Apply exceptions to get final periods\n            day_exceptions = calendar_exceptions[date_string]\n            working_exceptions = [(start, end) for start, end, is_working in day_exceptions if is_working]\n            non_working_exceptions = [(start, end) for start, end, is_working in day_exceptions if not is_working]\n            \n            # Process exceptions\n            periods = subtract_non_working_exceptions(base_periods, non_working_exceptions)\n            periods = add_non_overlapping_working_exceptions(periods, working_exceptions)\n            periods.sort(key=lambda x: x[0])\n        else:\n            # No exceptions, use base periods\n            periods = base_periods\n        \n        # Convert to datetime intervals and add to result\n        for start_time, end_time in periods:\n            start_dt = datetime.combine(current_date, start_time)\n            end_dt = datetime.combine(current_date, end_time)\n            \n            # Handle overnight shifts that span midnight\n            if end_time &lt;= start_time:\n                end_dt += timedelta(days=1)\n            \n            intervals.append((start_dt, end_dt, total_minutes))\n            # Use cached time calculation instead of datetime arithmetic\n            total_minutes += get_time_difference_minutes(start_time, end_time)\n        \n        current_date += timedelta(days=1)\n    \n    return intervals\n\ndef add_working_minutes(\n    start_dt: datetime,\n    minutes_to_add: int,\n    working_intervals: List[Tuple[datetime, datetime, int]]\n) -&gt; Optional[datetime]:\n    \&quot;\&quot;\&quot;Add working minutes to a start datetime using precomputed working intervals.\&quot;\&quot;\&quot;\n    if not working_intervals:\n        return None\n    \n    # Find the interval containing or after start_dt\n    idx = -1\n    for i, (iv_start, iv_end, cumu) in enumerate(working_intervals):\n        if start_dt &lt;= iv_end:  # start_dt is within or before this interval\n            idx = i\n            break\n    \n    if idx == -1:\n        # start_dt is after all intervals\n        return None\n    \n    interval_start, interval_end, cumu_at_start = working_intervals[idx]\n    \n    # If start_dt is before the interval, move to the start of the interval\n    if start_dt &lt; interval_start:\n        offset = 0\n        effective_start = interval_start\n    else:\n        offset = int((start_dt - interval_start).total_seconds() \/\/ 60)\n        effective_start = start_dt\n    \n    # Check if we can finish within this interval\n    minutes_in_this_interval = int((interval_end - effective_start).total_seconds() \/\/ 60)\n    if minutes_to_add &lt;= minutes_in_this_interval:\n        return effective_start + timedelta(minutes=minutes_to_add)\n    \n    # We need to go to subsequent intervals\n    # Calculate the absolute target cumulative minutes from the very beginning\n    current_position = cumu_at_start + offset\n    target_cumu = current_position + minutes_to_add\n    \n    # Find the interval that contains the target cumulative minutes using direct binary search\n    left, right = 0, len(working_intervals) - 1\n    target_idx = -1\n    \n    while left &lt;= right:\n        mid = (left + right) \/\/ 2\n        iv_start, iv_end, cumu_at_iv_start = working_intervals[mid]\n        iv_duration = int((iv_end - iv_start).total_seconds() \/\/ 60)\n        cumu_at_iv_end = cumu_at_iv_start + iv_duration\n        \n        if target_cumu &lt;= cumu_at_iv_end:\n            target_idx = mid\n            right = mid - 1\n        else:\n            left = mid + 1\n    \n    if target_idx == -1:\n        # Target is beyond all intervals\n        return None\n    \n    # Found the target interval\n    iv_start, iv_end, cumu_at_iv_start = working_intervals[target_idx]\n    minute_offset = target_cumu - cumu_at_iv_start\n    return iv_start + timedelta(minutes=minute_offset)\n\ndef calculate_dynamic_buffer_days(\n    minutes_to_add: int,\n    calendar_rules: Dict[str, Dict[int, List[Tuple[time, time]]]],\n    calendar_id: str\n) -&gt; int:\n    \&quot;\&quot;\&quot;\n    Calculate buffer days using heuristic based on actual calendar working hours.\n    \n    Args:\n        minutes_to_add: Job duration in minutes\n        calendar_rules: Loaded calendar rules\n        calendar_id: Calendar ID to analyze\n        \n    Returns:\n        Number of buffer days needed\n    \&quot;\&quot;\&quot;\n    # Get actual working minutes per week from calendar rules\n    calendar_data = calendar_rules.get(calendar_id, {})\n    weekly_working_minutes = 0\n    \n    for weekday in range(7):  # Monday=0 to Sunday=6\n        day_periods = calendar_data.get(weekday, [])\n        for start_time, end_time in day_periods:\n            start_minutes = start_time.hour * 60 + start_time.minute\n            end_minutes = end_time.hour * 60 + end_time.minute\n            \n            # Handle overnight shifts that span midnight\n            if end_minutes &lt;= start_minutes:\n                # Shift spans midnight: calculate as (24:00 - start) + (end - 00:00)\n                duration = (24 * 60 - start_minutes) + end_minutes\n            else:\n                # Normal shift within the same day\n                duration = end_minutes - start_minutes\n            \n            weekly_working_minutes += duration\n    \n    # Handle edge case: no working time defined\n    if weekly_working_minutes == 0:\n        return max(365, minutes_to_add \/\/ 1440)  # Fallback: 1 day per 1440 minutes\n    \n    # Calculate working-to-calendar ratio\n    minutes_per_week = 7 * 24 * 60  # 10,080 minutes per week\n    working_ratio = weekly_working_minutes \/ minutes_per_week\n    \n    # Estimate calendar days needed\n    estimated_days = minutes_to_add \/ (weekly_working_minutes \/ 7)\n    \n    # Apply safety margin based on job size and calendar density\n    if minutes_to_add &lt; 1440:  # &lt; 1 day of continuous work\n        safety_multiplier = 3.0  # 200% margin for small jobs\n    elif minutes_to_add &lt; 43200:  # &lt; 1 month of continuous work  \n        safety_multiplier = 2.0  # 100% margin for medium jobs\n    else:  # Large jobs\n        safety_multiplier = 1.5  # 50% margin for large jobs\n    \n    # Calculate final buffer with minimum safety days\n    safety_days = max(14, int(estimated_days * safety_multiplier))\n    \n    # For very low-density calendars (&lt; 2 hours\/week), add extra buffer\n    if weekly_working_minutes &lt; 120:  # Less than 2 hours per week\n        safety_days = max(safety_days, int(estimated_days * 5))  # 400% extra margin\n    \n    # For calendars with sparse working days, ensure we cover at least 2 cycles\n    working_days_per_week = sum(1 for day in range(7) if calendar_data.get(day, []))\n    if working_days_per_week &lt;= 2:  # Weekend-only or very sparse\n        weeks_needed = int(estimated_days \/ 7) + 1\n        safety_days = max(safety_days, weeks_needed * 14)  # At least 2 weeks per cycle\n    \n    # Cap maximum buffer to prevent excessive memory usage\n    max_buffer = min(3650, max(safety_days, minutes_to_add \/\/ 100))  # Max 10 years or 1 day per 100 minutes\n    \n    return min(safety_days, max_buffer)\n\n\n# --- Data Loading for xlwings lite (hardcoded paths) ---\n\ndef get_default_calendar_rules():\n    \&quot;\&quot;\&quot;Return default 9-5 Monday-Friday calendar rules.\&quot;\&quot;\&quot;\n    return [\n        ['id', 'calendar_id', 'weekday', 'start_time', 'end_time'],\n        [1, 'default', 'Mon', '09:00', '17:00'],\n        [2, 'default', 'Tue', '09:00', '17:00'],\n        [3, 'default', 'Wed', '09:00', '17:00'],\n        [4, 'default', 'Thu', '09:00', '17:00'],\n        [5, 'default', 'Fri', '09:00', '17:00']\n    ]\n\ndef get_default_calendar_exceptions():\n    \&quot;\&quot;\&quot;Return default empty calendar exceptions.\&quot;\&quot;\&quot;\n    return [['id', 'calendar_id', 'date', 'start_time', 'end_time', 'is_working']]\n\n# --- xlwings Functions ---\n\n@func\ndef calculate_working_completion_time(\n    start_datetime,\n    jobtime,\n    calendar_rules_data=None,\n    calendar_exceptions_data=None,\n    calendar_id=\&quot;default\&quot;\n):\n    \&quot;\&quot;\&quot;Calculate working time completion datetime for Excel.\&quot;\&quot;\&quot;\n    try:\n        # Convert Excel inputs to Python types\n        if isinstance(start_datetime, (int, float)):\n            # Excel datetime serial number\n            start_dt = datetime(1900, 1, 1) + timedelta(days=start_datetime - 2)\n        else:\n            start_dt = start_datetime\n        \n        # Convert jobtime to minutes if it's in hours\n        if isinstance(jobtime, (int, float)):\n            if jobtime &lt; 24:  # Assume hours if less than 24\n                minutes_to_add = int(jobtime * 60)\n            else:  # Assume minutes if 24 or more\n                minutes_to_add = int(jobtime)\n        else:\n            minutes_to_add = int(jobtime)\n        \n        # Use provided data or defaults\n        if calendar_rules_data is None:\n            rules_data = get_default_calendar_rules()\n            rules_df = pd.DataFrame(rules_data[1:], columns=rules_data[0])\n        else:\n            rules_df = pd.DataFrame(calendar_rules_data[1:], columns=calendar_rules_data[0])\n        \n        if calendar_exceptions_data is None:\n            exceptions_data = get_default_calendar_exceptions()\n            exceptions_df = pd.DataFrame(exceptions_data[1:], columns=exceptions_data[0])\n        else:\n            exceptions_df = pd.DataFrame(calendar_exceptions_data[1:], columns=calendar_exceptions_data[0])\n        \n        # Load calendar data\n        calendar_rules = load_calendar_rules(rules_df)\n        calendar_exceptions = load_calendar_exceptions(exceptions_df)\n        \n        # Check if calendar_id exists in rules (case-insensitive)\n        calendar_id_lower = calendar_id.lower()\n        if calendar_id_lower not in calendar_rules:\n            # Try to use the first available calendar ID\n            if not calendar_rules:\n                return \&quot;Error: No calendar rules found in data\&quot;\n            calendar_id_lower = next(iter(calendar_rules.keys()))\n                # Build working intervals using dynamic buffer calculation\n        start_date = start_dt.date()\n        buffer_days = calculate_dynamic_buffer_days(minutes_to_add, calendar_rules, calendar_id_lower)\n        end_date = start_date + timedelta(days=buffer_days)\n        \n        working_intervals = build_working_intervals(\n            calendar_rules, calendar_exceptions, calendar_id_lower, start_date, end_date\n        )\n        \n        # Calculate completion time\n        completion_dt = add_working_minutes(start_dt, minutes_to_add, working_intervals)\n        \n        if completion_dt is None:\n            return f\&quot;Error: Cannot complete {minutes_to_add} minutes of work within the calculated time range\&quot;\n        \n        # Convert back to Excel datetime serial number\n        return datetime_to_excel(completion_dt)\n        \n    except Exception as e:\n        return f\&quot;Error: {str(e)}\&quot;&quot;"/>
    <we:property name="pyodideVersion" value="&quot;0.27.5&quot;"/>
    <we:property name="addinVersion" value="&quot;1.0.0.0-18&quot;"/>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s>_xldudf_COUNT_BOM_LEVELS</we:customFunctionIds>
        <we:customFunctionIds>_xldudf_EXPLODE_BOM_EXCEL</we:customFunctionIds>
        <we:customFunctionIds>_xldudf_CALCULATE_WORKING_COMPLETION_TIME</we:customFunctionIds>
      </we:customFunctionIdList>
    </a:ext>
  </we:extLst>
</we:webextension>
</file>

<file path=xl/webextensions/webextension2.xml><?xml version="1.0" encoding="utf-8"?>
<we:webextension xmlns:we="http://schemas.microsoft.com/office/webextensions/webextension/2010/11" id="{485F54DC-AF3C-4A42-ACE8-485124CD944A}">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3.xml><?xml version="1.0" encoding="utf-8"?>
<we:webextension xmlns:we="http://schemas.microsoft.com/office/webextensions/webextension/2010/11" id="{2D80334B-DACA-44B4-B131-3206FC257AD0}">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F6A136F1-C39B-44BD-AC41-4D75299109E0}">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zoomScaleNormal="100" workbookViewId="0">
      <selection activeCell="F4" sqref="F4"/>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56" t="s">
        <v>168</v>
      </c>
      <c r="B7" s="1"/>
      <c r="D7" s="24"/>
    </row>
    <row r="8" spans="1:5" ht="15.5" x14ac:dyDescent="0.35">
      <c r="A8" s="25"/>
    </row>
    <row r="9" spans="1:5" x14ac:dyDescent="0.35">
      <c r="B9" s="1"/>
      <c r="C9"/>
    </row>
    <row r="10" spans="1:5" s="5" customFormat="1" x14ac:dyDescent="0.35">
      <c r="A10" s="46" t="s">
        <v>1</v>
      </c>
      <c r="B10" s="47" t="s">
        <v>143</v>
      </c>
      <c r="C10"/>
      <c r="D10" s="2"/>
      <c r="E10" s="2"/>
    </row>
    <row r="11" spans="1:5" x14ac:dyDescent="0.35">
      <c r="A11" s="46" t="s">
        <v>2</v>
      </c>
      <c r="B11" s="51">
        <v>45413.504918981482</v>
      </c>
      <c r="C11"/>
    </row>
    <row r="12" spans="1:5" x14ac:dyDescent="0.35">
      <c r="A12" s="52" t="s">
        <v>3</v>
      </c>
      <c r="B12" s="51">
        <v>45413.504930555559</v>
      </c>
      <c r="C12"/>
      <c r="D12" s="26"/>
    </row>
    <row r="13" spans="1:5" x14ac:dyDescent="0.35">
      <c r="A13" s="52" t="s">
        <v>4</v>
      </c>
      <c r="B13" s="51">
        <v>1.1574076779652387E-5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145</v>
      </c>
      <c r="E22" s="2"/>
    </row>
    <row r="23" spans="1:5" x14ac:dyDescent="0.35">
      <c r="A23" s="48"/>
      <c r="B23" s="48"/>
      <c r="C23" s="6" t="s">
        <v>28</v>
      </c>
      <c r="D23" s="7">
        <v>45511.330243055556</v>
      </c>
    </row>
    <row r="24" spans="1:5" x14ac:dyDescent="0.35">
      <c r="A24" s="48"/>
      <c r="C24" s="6" t="s">
        <v>7</v>
      </c>
      <c r="D24" s="7">
        <v>45848.704236111109</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Auto_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Auto_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1.1574076779652387E-5</v>
      </c>
    </row>
    <row r="12" spans="1:24" x14ac:dyDescent="0.35">
      <c r="A12" s="8" t="s">
        <v>9</v>
      </c>
      <c r="B12" s="8" t="s">
        <v>144</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C:\P-S_Test\Archive</v>
      </c>
    </row>
    <row r="14" spans="1:24" x14ac:dyDescent="0.35">
      <c r="A14" s="8" t="s">
        <v>10</v>
      </c>
      <c r="B14" s="8" t="s">
        <v>143</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C:\P-S_Test\Input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C:\P-S_Test</v>
      </c>
    </row>
    <row r="17" spans="1:2" x14ac:dyDescent="0.35">
      <c r="A17" s="8" t="s">
        <v>139</v>
      </c>
      <c r="B17" s="8">
        <v>0</v>
      </c>
    </row>
    <row r="18" spans="1:2" x14ac:dyDescent="0.35">
      <c r="A18" s="8" t="s">
        <v>146</v>
      </c>
      <c r="B18" s="8" t="s">
        <v>147</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E60E1-663D-4BE9-9A18-E722D59EFC9C}">
  <sheetPr codeName="Sheet051">
    <tabColor rgb="FF2ECC71"/>
  </sheetPr>
  <dimension ref="A1:P27"/>
  <sheetViews>
    <sheetView zoomScaleNormal="100" workbookViewId="0">
      <pane ySplit="10" topLeftCell="A11" activePane="bottomLeft" state="frozen"/>
      <selection activeCell="A10" sqref="A10"/>
      <selection pane="bottomLeft" activeCell="G55" sqref="G55"/>
    </sheetView>
  </sheetViews>
  <sheetFormatPr defaultColWidth="12.6328125" defaultRowHeight="14.5" x14ac:dyDescent="0.35"/>
  <cols>
    <col min="1" max="1" width="4.6328125" style="8" bestFit="1" customWidth="1"/>
    <col min="2" max="2" width="12.81640625" style="8" bestFit="1" customWidth="1"/>
    <col min="3" max="3" width="10.54296875" style="8" bestFit="1" customWidth="1"/>
    <col min="4" max="4" width="11.90625" style="8" bestFit="1" customWidth="1"/>
    <col min="5" max="5" width="11.08984375" style="8" bestFit="1" customWidth="1"/>
    <col min="6"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150</v>
      </c>
      <c r="D10" s="14" t="s">
        <v>151</v>
      </c>
      <c r="E10" s="14" t="s">
        <v>152</v>
      </c>
    </row>
    <row r="11" spans="1:16" x14ac:dyDescent="0.35">
      <c r="A11">
        <v>1</v>
      </c>
      <c r="B11" s="8" t="s">
        <v>153</v>
      </c>
      <c r="C11" s="8" t="s">
        <v>154</v>
      </c>
      <c r="D11" s="53">
        <v>0.375</v>
      </c>
      <c r="E11" s="53">
        <v>0.70833333333333337</v>
      </c>
    </row>
    <row r="12" spans="1:16" x14ac:dyDescent="0.35">
      <c r="A12">
        <v>2</v>
      </c>
      <c r="B12" s="8" t="s">
        <v>153</v>
      </c>
      <c r="C12" s="8" t="s">
        <v>155</v>
      </c>
      <c r="D12" s="53">
        <v>0.375</v>
      </c>
      <c r="E12" s="53">
        <v>0.70833333333333337</v>
      </c>
    </row>
    <row r="13" spans="1:16" x14ac:dyDescent="0.35">
      <c r="A13">
        <v>3</v>
      </c>
      <c r="B13" s="8" t="s">
        <v>153</v>
      </c>
      <c r="C13" s="8" t="s">
        <v>156</v>
      </c>
      <c r="D13" s="53">
        <v>0.375</v>
      </c>
      <c r="E13" s="53">
        <v>0.70833333333333337</v>
      </c>
    </row>
    <row r="14" spans="1:16" x14ac:dyDescent="0.35">
      <c r="A14">
        <v>4</v>
      </c>
      <c r="B14" s="8" t="s">
        <v>153</v>
      </c>
      <c r="C14" s="8" t="s">
        <v>157</v>
      </c>
      <c r="D14" s="53">
        <v>0.375</v>
      </c>
      <c r="E14" s="53">
        <v>0.70833333333333337</v>
      </c>
    </row>
    <row r="15" spans="1:16" x14ac:dyDescent="0.35">
      <c r="A15">
        <v>5</v>
      </c>
      <c r="B15" s="8" t="s">
        <v>153</v>
      </c>
      <c r="C15" s="8" t="s">
        <v>158</v>
      </c>
      <c r="D15" s="53">
        <v>0.375</v>
      </c>
      <c r="E15" s="53">
        <v>0.70833333333333337</v>
      </c>
    </row>
    <row r="16" spans="1:16" x14ac:dyDescent="0.35">
      <c r="A16">
        <v>6</v>
      </c>
      <c r="B16" s="8" t="s">
        <v>159</v>
      </c>
      <c r="C16" s="8" t="s">
        <v>154</v>
      </c>
      <c r="D16" s="53">
        <v>0.375</v>
      </c>
      <c r="E16" s="53">
        <v>0.70833333333333337</v>
      </c>
    </row>
    <row r="17" spans="1:5" x14ac:dyDescent="0.35">
      <c r="A17">
        <v>7</v>
      </c>
      <c r="B17" s="8" t="s">
        <v>159</v>
      </c>
      <c r="C17" s="8" t="s">
        <v>155</v>
      </c>
      <c r="D17" s="53">
        <v>0.375</v>
      </c>
      <c r="E17" s="53">
        <v>0.70833333333333337</v>
      </c>
    </row>
    <row r="18" spans="1:5" x14ac:dyDescent="0.35">
      <c r="A18">
        <v>8</v>
      </c>
      <c r="B18" s="8" t="s">
        <v>159</v>
      </c>
      <c r="C18" s="8" t="s">
        <v>156</v>
      </c>
      <c r="D18" s="53">
        <v>0.375</v>
      </c>
      <c r="E18" s="53">
        <v>0.70833333333333337</v>
      </c>
    </row>
    <row r="19" spans="1:5" x14ac:dyDescent="0.35">
      <c r="A19">
        <v>9</v>
      </c>
      <c r="B19" s="8" t="s">
        <v>159</v>
      </c>
      <c r="C19" s="8" t="s">
        <v>157</v>
      </c>
      <c r="D19" s="53">
        <v>0.375</v>
      </c>
      <c r="E19" s="53">
        <v>0.70833333333333337</v>
      </c>
    </row>
    <row r="20" spans="1:5" x14ac:dyDescent="0.35">
      <c r="A20">
        <v>10</v>
      </c>
      <c r="B20" s="8" t="s">
        <v>159</v>
      </c>
      <c r="C20" s="8" t="s">
        <v>158</v>
      </c>
      <c r="D20" s="53">
        <v>0.375</v>
      </c>
      <c r="E20" s="53">
        <v>0.70833333333333337</v>
      </c>
    </row>
    <row r="21" spans="1:5" x14ac:dyDescent="0.35">
      <c r="A21">
        <v>11</v>
      </c>
      <c r="B21" s="8" t="s">
        <v>160</v>
      </c>
      <c r="C21" s="8" t="s">
        <v>154</v>
      </c>
      <c r="D21" s="53">
        <v>0.375</v>
      </c>
      <c r="E21" s="53">
        <v>0.875</v>
      </c>
    </row>
    <row r="22" spans="1:5" x14ac:dyDescent="0.35">
      <c r="A22">
        <v>12</v>
      </c>
      <c r="B22" s="8" t="s">
        <v>160</v>
      </c>
      <c r="C22" s="8" t="s">
        <v>155</v>
      </c>
      <c r="D22" s="53">
        <v>0.375</v>
      </c>
      <c r="E22" s="53">
        <v>0.875</v>
      </c>
    </row>
    <row r="23" spans="1:5" x14ac:dyDescent="0.35">
      <c r="A23">
        <v>13</v>
      </c>
      <c r="B23" s="8" t="s">
        <v>160</v>
      </c>
      <c r="C23" s="8" t="s">
        <v>156</v>
      </c>
      <c r="D23" s="53">
        <v>0.375</v>
      </c>
      <c r="E23" s="53">
        <v>0.875</v>
      </c>
    </row>
    <row r="24" spans="1:5" x14ac:dyDescent="0.35">
      <c r="A24">
        <v>14</v>
      </c>
      <c r="B24" s="8" t="s">
        <v>160</v>
      </c>
      <c r="C24" s="8" t="s">
        <v>157</v>
      </c>
      <c r="D24" s="53">
        <v>0.375</v>
      </c>
      <c r="E24" s="53">
        <v>0.875</v>
      </c>
    </row>
    <row r="25" spans="1:5" x14ac:dyDescent="0.35">
      <c r="A25">
        <v>15</v>
      </c>
      <c r="B25" s="8" t="s">
        <v>160</v>
      </c>
      <c r="C25" s="8" t="s">
        <v>158</v>
      </c>
      <c r="D25" s="53">
        <v>0.375</v>
      </c>
      <c r="E25" s="53">
        <v>0.875</v>
      </c>
    </row>
    <row r="26" spans="1:5" x14ac:dyDescent="0.35">
      <c r="A26">
        <v>16</v>
      </c>
      <c r="B26" s="8" t="s">
        <v>160</v>
      </c>
      <c r="C26" s="8" t="s">
        <v>161</v>
      </c>
      <c r="D26" s="53">
        <v>0.375</v>
      </c>
      <c r="E26" s="53">
        <v>0.875</v>
      </c>
    </row>
    <row r="27" spans="1:5" x14ac:dyDescent="0.35">
      <c r="A27">
        <v>17</v>
      </c>
      <c r="B27" s="8" t="s">
        <v>160</v>
      </c>
      <c r="C27" s="8" t="s">
        <v>162</v>
      </c>
      <c r="D27" s="53">
        <v>0.375</v>
      </c>
      <c r="E27" s="53">
        <v>0.875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Upd_calendar_rules">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53D57-11C0-4024-9534-B6BE76093B50}">
  <sheetPr codeName="Sheet052">
    <tabColor rgb="FF2ECC71"/>
  </sheetPr>
  <dimension ref="A1:P30"/>
  <sheetViews>
    <sheetView zoomScaleNormal="100" workbookViewId="0">
      <pane ySplit="10" topLeftCell="A11" activePane="bottomLeft" state="frozen"/>
      <selection activeCell="A10" sqref="A10"/>
      <selection pane="bottomLeft" activeCell="G18" sqref="G18"/>
    </sheetView>
  </sheetViews>
  <sheetFormatPr defaultColWidth="12.6328125" defaultRowHeight="14.5" x14ac:dyDescent="0.35"/>
  <cols>
    <col min="1" max="1" width="4.6328125" style="8" bestFit="1" customWidth="1"/>
    <col min="2" max="2" width="12.81640625" style="8" bestFit="1" customWidth="1"/>
    <col min="3" max="3" width="10.08984375" style="8" bestFit="1" customWidth="1"/>
    <col min="4" max="4" width="11.90625" style="8" bestFit="1" customWidth="1"/>
    <col min="5" max="5" width="11.08984375" style="8" bestFit="1" customWidth="1"/>
    <col min="6" max="6" width="12.08984375" style="8" bestFit="1" customWidth="1"/>
    <col min="7"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163</v>
      </c>
      <c r="D10" s="14" t="s">
        <v>151</v>
      </c>
      <c r="E10" s="14" t="s">
        <v>152</v>
      </c>
      <c r="F10" s="14" t="s">
        <v>164</v>
      </c>
    </row>
    <row r="11" spans="1:16" x14ac:dyDescent="0.35">
      <c r="A11">
        <v>1</v>
      </c>
      <c r="B11" s="8" t="s">
        <v>160</v>
      </c>
      <c r="C11" s="54">
        <v>45658</v>
      </c>
      <c r="D11" s="53">
        <v>0.375</v>
      </c>
      <c r="E11" s="53">
        <v>0.38194444444444442</v>
      </c>
      <c r="F11" t="b">
        <v>0</v>
      </c>
    </row>
    <row r="12" spans="1:16" x14ac:dyDescent="0.35">
      <c r="A12">
        <v>2</v>
      </c>
      <c r="B12" s="8" t="s">
        <v>160</v>
      </c>
      <c r="C12" s="54">
        <v>45659</v>
      </c>
      <c r="D12" s="53">
        <v>0.5</v>
      </c>
      <c r="E12" s="53">
        <v>0.50694444444444442</v>
      </c>
      <c r="F12" t="b">
        <v>0</v>
      </c>
    </row>
    <row r="13" spans="1:16" x14ac:dyDescent="0.35">
      <c r="A13">
        <v>3</v>
      </c>
      <c r="B13" s="8" t="s">
        <v>160</v>
      </c>
      <c r="C13" s="54">
        <v>45660</v>
      </c>
      <c r="D13" s="53">
        <v>0.5</v>
      </c>
      <c r="E13" s="53">
        <v>0.50694444444444442</v>
      </c>
      <c r="F13" t="b">
        <v>0</v>
      </c>
    </row>
    <row r="14" spans="1:16" x14ac:dyDescent="0.35">
      <c r="A14">
        <v>4</v>
      </c>
      <c r="B14" s="8" t="s">
        <v>160</v>
      </c>
      <c r="C14" s="54">
        <v>45661</v>
      </c>
      <c r="D14" s="53">
        <v>0.5</v>
      </c>
      <c r="E14" s="53">
        <v>0.50694444444444442</v>
      </c>
      <c r="F14" t="b">
        <v>0</v>
      </c>
    </row>
    <row r="15" spans="1:16" x14ac:dyDescent="0.35">
      <c r="A15">
        <v>5</v>
      </c>
      <c r="B15" s="8" t="s">
        <v>160</v>
      </c>
      <c r="C15" s="54">
        <v>45662</v>
      </c>
      <c r="D15" s="53">
        <v>0.5</v>
      </c>
      <c r="E15" s="53">
        <v>0.50694444444444442</v>
      </c>
      <c r="F15" t="b">
        <v>0</v>
      </c>
    </row>
    <row r="16" spans="1:16" x14ac:dyDescent="0.35">
      <c r="A16">
        <v>6</v>
      </c>
      <c r="B16" s="8" t="s">
        <v>160</v>
      </c>
      <c r="C16" s="54">
        <v>45663</v>
      </c>
      <c r="D16" s="53">
        <v>0.5</v>
      </c>
      <c r="E16" s="53">
        <v>0.50694444444444442</v>
      </c>
      <c r="F16" t="b">
        <v>1</v>
      </c>
    </row>
    <row r="17" spans="1:6" x14ac:dyDescent="0.35">
      <c r="A17">
        <v>7</v>
      </c>
      <c r="B17" s="8" t="s">
        <v>160</v>
      </c>
      <c r="C17" s="54">
        <v>45664</v>
      </c>
      <c r="D17" s="53">
        <v>0.5</v>
      </c>
      <c r="E17" s="53">
        <v>0.50694444444444442</v>
      </c>
      <c r="F17" t="b">
        <v>0</v>
      </c>
    </row>
    <row r="18" spans="1:6" x14ac:dyDescent="0.35">
      <c r="A18">
        <v>8</v>
      </c>
      <c r="B18" s="8" t="s">
        <v>160</v>
      </c>
      <c r="C18" s="54">
        <v>45665</v>
      </c>
      <c r="D18" s="53">
        <v>0.5</v>
      </c>
      <c r="E18" s="53">
        <v>0.50694444444444442</v>
      </c>
      <c r="F18" t="b">
        <v>0</v>
      </c>
    </row>
    <row r="19" spans="1:6" x14ac:dyDescent="0.35">
      <c r="A19">
        <v>9</v>
      </c>
      <c r="B19" s="8" t="s">
        <v>160</v>
      </c>
      <c r="C19" s="54">
        <v>45666</v>
      </c>
      <c r="D19" s="53">
        <v>0.5</v>
      </c>
      <c r="E19" s="53">
        <v>0.51388888888888884</v>
      </c>
      <c r="F19" t="b">
        <v>1</v>
      </c>
    </row>
    <row r="20" spans="1:6" x14ac:dyDescent="0.35">
      <c r="A20">
        <v>10</v>
      </c>
      <c r="B20" s="8" t="s">
        <v>160</v>
      </c>
      <c r="C20" s="54">
        <v>45667</v>
      </c>
      <c r="D20" s="53">
        <v>0.5</v>
      </c>
      <c r="E20" s="53">
        <v>0.50694444444444442</v>
      </c>
      <c r="F20" t="b">
        <v>0</v>
      </c>
    </row>
    <row r="21" spans="1:6" x14ac:dyDescent="0.35">
      <c r="A21">
        <v>11</v>
      </c>
      <c r="B21" s="8" t="s">
        <v>160</v>
      </c>
      <c r="C21" s="54">
        <v>45668</v>
      </c>
      <c r="D21" s="53">
        <v>0.5</v>
      </c>
      <c r="E21" s="53">
        <v>0.51388888888888884</v>
      </c>
      <c r="F21" t="b">
        <v>1</v>
      </c>
    </row>
    <row r="22" spans="1:6" x14ac:dyDescent="0.35">
      <c r="A22">
        <v>12</v>
      </c>
      <c r="B22" s="8" t="s">
        <v>160</v>
      </c>
      <c r="C22" s="54">
        <v>45669</v>
      </c>
      <c r="D22" s="53">
        <v>0.5</v>
      </c>
      <c r="E22" s="53">
        <v>0.50694444444444442</v>
      </c>
      <c r="F22" t="b">
        <v>0</v>
      </c>
    </row>
    <row r="23" spans="1:6" x14ac:dyDescent="0.35">
      <c r="A23">
        <v>13</v>
      </c>
      <c r="B23" s="8" t="s">
        <v>160</v>
      </c>
      <c r="C23" s="54">
        <v>45670</v>
      </c>
      <c r="D23" s="53">
        <v>0.5</v>
      </c>
      <c r="E23" s="53">
        <v>0.51388888888888884</v>
      </c>
      <c r="F23" t="b">
        <v>1</v>
      </c>
    </row>
    <row r="24" spans="1:6" x14ac:dyDescent="0.35">
      <c r="A24">
        <v>14</v>
      </c>
      <c r="B24" s="8" t="s">
        <v>160</v>
      </c>
      <c r="C24" s="54">
        <v>45671</v>
      </c>
      <c r="D24" s="53">
        <v>0.5</v>
      </c>
      <c r="E24" s="53">
        <v>0.50694444444444442</v>
      </c>
      <c r="F24" t="b">
        <v>0</v>
      </c>
    </row>
    <row r="25" spans="1:6" x14ac:dyDescent="0.35">
      <c r="A25">
        <v>15</v>
      </c>
      <c r="B25" s="8" t="s">
        <v>160</v>
      </c>
      <c r="C25" s="54">
        <v>45672</v>
      </c>
      <c r="D25" s="53">
        <v>0.5</v>
      </c>
      <c r="E25" s="53">
        <v>0.51388888888888884</v>
      </c>
      <c r="F25" t="b">
        <v>1</v>
      </c>
    </row>
    <row r="26" spans="1:6" x14ac:dyDescent="0.35">
      <c r="A26">
        <v>16</v>
      </c>
      <c r="B26" s="8" t="s">
        <v>160</v>
      </c>
      <c r="C26" s="54">
        <v>45673</v>
      </c>
      <c r="D26" s="53">
        <v>0.5</v>
      </c>
      <c r="E26" s="53">
        <v>0.50694444444444442</v>
      </c>
      <c r="F26" t="b">
        <v>0</v>
      </c>
    </row>
    <row r="27" spans="1:6" x14ac:dyDescent="0.35">
      <c r="A27">
        <v>17</v>
      </c>
      <c r="B27" s="8" t="s">
        <v>160</v>
      </c>
      <c r="C27" s="54">
        <v>45674</v>
      </c>
      <c r="D27" s="53">
        <v>0.5</v>
      </c>
      <c r="E27" s="53">
        <v>0.51388888888888884</v>
      </c>
      <c r="F27" t="b">
        <v>1</v>
      </c>
    </row>
    <row r="28" spans="1:6" x14ac:dyDescent="0.35">
      <c r="A28">
        <v>18</v>
      </c>
      <c r="B28" s="8" t="s">
        <v>160</v>
      </c>
      <c r="C28" s="54">
        <v>45675</v>
      </c>
      <c r="D28" s="53">
        <v>0.5</v>
      </c>
      <c r="E28" s="53">
        <v>0.50694444444444442</v>
      </c>
      <c r="F28" t="b">
        <v>0</v>
      </c>
    </row>
    <row r="29" spans="1:6" x14ac:dyDescent="0.35">
      <c r="A29">
        <v>19</v>
      </c>
      <c r="B29" s="8" t="s">
        <v>160</v>
      </c>
      <c r="C29" s="54">
        <v>45676</v>
      </c>
      <c r="D29" s="53">
        <v>0.5</v>
      </c>
      <c r="E29" s="53">
        <v>0.51388888888888884</v>
      </c>
      <c r="F29" t="b">
        <v>1</v>
      </c>
    </row>
    <row r="30" spans="1:6" x14ac:dyDescent="0.35">
      <c r="A30">
        <v>20</v>
      </c>
      <c r="B30" s="8" t="s">
        <v>160</v>
      </c>
      <c r="C30" s="54">
        <v>45677</v>
      </c>
      <c r="D30" s="53">
        <v>0.5</v>
      </c>
      <c r="E30" s="53">
        <v>0.50694444444444442</v>
      </c>
      <c r="F30" t="b">
        <v>0</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7650" r:id="rId5" name="Upd_Button">
              <controlPr defaultSize="0" print="0" autoFill="0" autoPict="0" macro="[0]!Upd_calendar_exceptions">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D676F-CB67-4088-8763-E3F12A3A8B64}">
  <sheetPr codeName="Sheet061"/>
  <dimension ref="A1:Z20"/>
  <sheetViews>
    <sheetView tabSelected="1" zoomScaleNormal="100" workbookViewId="0">
      <pane ySplit="10" topLeftCell="A11" activePane="bottomLeft" state="frozen"/>
      <selection activeCell="A10" sqref="A10"/>
      <selection pane="bottomLeft" activeCell="D20" sqref="D20"/>
    </sheetView>
  </sheetViews>
  <sheetFormatPr defaultColWidth="12.6328125" defaultRowHeight="15" customHeight="1" x14ac:dyDescent="0.35"/>
  <cols>
    <col min="1" max="1" width="18.81640625" style="8" customWidth="1"/>
    <col min="2" max="2" width="11.08984375" style="8" customWidth="1"/>
    <col min="3" max="3" width="10.6328125" style="8" customWidth="1"/>
    <col min="4" max="4" width="25.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 t="shared" ref="M1:R1" si="1">SUBSTITUTE(ADDRESS(1,COLUMN(),4),"1","")</f>
        <v>M</v>
      </c>
      <c r="N1" s="11" t="str">
        <f t="shared" si="1"/>
        <v>N</v>
      </c>
      <c r="O1" s="11" t="str">
        <f t="shared" si="1"/>
        <v>O</v>
      </c>
      <c r="P1" s="11" t="str">
        <f t="shared" si="1"/>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10</v>
      </c>
      <c r="F6" s="57" t="s">
        <v>170</v>
      </c>
    </row>
    <row r="7" spans="1:26" ht="14.5" x14ac:dyDescent="0.35"/>
    <row r="8" spans="1:26" ht="15" customHeight="1" x14ac:dyDescent="0.35">
      <c r="A8" s="34">
        <f ca="1">TODAY()+0.5</f>
        <v>45853.5</v>
      </c>
      <c r="B8" s="8">
        <f>ROW()</f>
        <v>8</v>
      </c>
      <c r="C8" s="8" t="s">
        <v>153</v>
      </c>
      <c r="D8" s="34" cm="1">
        <f t="array" aca="1" ref="D8" ca="1">_xldudf_CALCULATE_WORKING_COMPLETION_TIME(A8,B8*60,calendar_rules[#All],calendar_exceptions[#All],C8)</f>
        <v>45854.5</v>
      </c>
    </row>
    <row r="9" spans="1:26" ht="3" customHeight="1" x14ac:dyDescent="0.35"/>
    <row r="10" spans="1:26" s="13" customFormat="1" ht="15" customHeight="1" x14ac:dyDescent="0.35">
      <c r="A10" s="55" t="s">
        <v>166</v>
      </c>
      <c r="B10" s="17" t="s">
        <v>165</v>
      </c>
      <c r="C10" s="13" t="s">
        <v>169</v>
      </c>
      <c r="D10" s="17" t="s">
        <v>167</v>
      </c>
      <c r="E10" s="17"/>
      <c r="F10" s="17"/>
      <c r="G10" s="17"/>
      <c r="H10" s="17"/>
      <c r="I10" s="17"/>
      <c r="J10" s="17"/>
      <c r="K10" s="17"/>
      <c r="L10" s="17"/>
      <c r="M10" s="17"/>
      <c r="N10" s="17"/>
      <c r="O10" s="17"/>
      <c r="P10" s="17"/>
      <c r="Q10" s="17"/>
      <c r="R10" s="17"/>
      <c r="S10" s="37"/>
      <c r="T10" s="37"/>
      <c r="U10" s="37"/>
      <c r="V10" s="37"/>
      <c r="W10" s="37"/>
      <c r="X10" s="37"/>
      <c r="Y10" s="37"/>
      <c r="Z10" s="37"/>
    </row>
    <row r="11" spans="1:26" ht="15" customHeight="1" x14ac:dyDescent="0.35">
      <c r="A11" s="34">
        <f t="shared" ref="A11:A20" ca="1" si="2">TODAY()+0.5</f>
        <v>45853.5</v>
      </c>
      <c r="B11" s="8">
        <f>ROW()</f>
        <v>11</v>
      </c>
      <c r="C11" s="8" t="s">
        <v>153</v>
      </c>
      <c r="D11" s="34" cm="1">
        <f t="array" aca="1" ref="D11" ca="1">_xldudf_CALCULATE_WORKING_COMPLETION_TIME(A11,B11*60,calendar_rules[#All],calendar_exceptions[#All],C11)</f>
        <v>45854.625</v>
      </c>
    </row>
    <row r="12" spans="1:26" ht="15" customHeight="1" x14ac:dyDescent="0.35">
      <c r="A12" s="34">
        <f t="shared" ca="1" si="2"/>
        <v>45853.5</v>
      </c>
      <c r="B12" s="8">
        <f>ROW()</f>
        <v>12</v>
      </c>
      <c r="C12" s="8" t="s">
        <v>153</v>
      </c>
      <c r="D12" s="34" cm="1">
        <f t="array" aca="1" ref="D12" ca="1">_xldudf_CALCULATE_WORKING_COMPLETION_TIME(A12,B12*60,calendar_rules[#All],calendar_exceptions[#All],C12)</f>
        <v>45854.666666666664</v>
      </c>
    </row>
    <row r="13" spans="1:26" ht="15" customHeight="1" x14ac:dyDescent="0.35">
      <c r="A13" s="34">
        <f t="shared" ca="1" si="2"/>
        <v>45853.5</v>
      </c>
      <c r="B13" s="8">
        <f>ROW()</f>
        <v>13</v>
      </c>
      <c r="C13" s="8" t="s">
        <v>153</v>
      </c>
      <c r="D13" s="34" cm="1">
        <f t="array" aca="1" ref="D13" ca="1">_xldudf_CALCULATE_WORKING_COMPLETION_TIME(A13,B13*60,calendar_rules[#All],calendar_exceptions[#All],C13)</f>
        <v>45854.708333333336</v>
      </c>
    </row>
    <row r="14" spans="1:26" ht="15" customHeight="1" x14ac:dyDescent="0.35">
      <c r="A14" s="34">
        <f t="shared" ca="1" si="2"/>
        <v>45853.5</v>
      </c>
      <c r="B14" s="8">
        <f>ROW()</f>
        <v>14</v>
      </c>
      <c r="C14" s="8" t="s">
        <v>153</v>
      </c>
      <c r="D14" s="34" cm="1">
        <f t="array" aca="1" ref="D14" ca="1">_xldudf_CALCULATE_WORKING_COMPLETION_TIME(A14,B14*60,calendar_rules[#All],calendar_exceptions[#All],C14)</f>
        <v>45855.416666666664</v>
      </c>
    </row>
    <row r="15" spans="1:26" ht="15" customHeight="1" x14ac:dyDescent="0.35">
      <c r="A15" s="34">
        <f t="shared" ca="1" si="2"/>
        <v>45853.5</v>
      </c>
      <c r="B15" s="8">
        <f>ROW()</f>
        <v>15</v>
      </c>
      <c r="C15" s="8" t="s">
        <v>153</v>
      </c>
      <c r="D15" s="34" cm="1">
        <f t="array" aca="1" ref="D15" ca="1">_xldudf_CALCULATE_WORKING_COMPLETION_TIME(A15,B15*60,calendar_rules[#All],calendar_exceptions[#All],C15)</f>
        <v>45855.458333333336</v>
      </c>
    </row>
    <row r="16" spans="1:26" ht="15" customHeight="1" x14ac:dyDescent="0.35">
      <c r="A16" s="34">
        <f t="shared" ca="1" si="2"/>
        <v>45853.5</v>
      </c>
      <c r="B16" s="8">
        <f>ROW()</f>
        <v>16</v>
      </c>
      <c r="C16" s="8" t="s">
        <v>153</v>
      </c>
      <c r="D16" s="34" cm="1">
        <f t="array" aca="1" ref="D16" ca="1">_xldudf_CALCULATE_WORKING_COMPLETION_TIME(A16,B16*60,calendar_rules[#All],calendar_exceptions[#All],C16)</f>
        <v>45855.5</v>
      </c>
    </row>
    <row r="17" spans="1:4" ht="15" customHeight="1" x14ac:dyDescent="0.35">
      <c r="A17" s="34">
        <f t="shared" ca="1" si="2"/>
        <v>45853.5</v>
      </c>
      <c r="B17" s="8">
        <f>ROW()</f>
        <v>17</v>
      </c>
      <c r="C17" s="8" t="s">
        <v>153</v>
      </c>
      <c r="D17" s="34" cm="1">
        <f t="array" aca="1" ref="D17" ca="1">_xldudf_CALCULATE_WORKING_COMPLETION_TIME(A17,B17*60,calendar_rules[#All],calendar_exceptions[#All],C17)</f>
        <v>45855.541666666664</v>
      </c>
    </row>
    <row r="18" spans="1:4" ht="15" customHeight="1" x14ac:dyDescent="0.35">
      <c r="A18" s="34">
        <f t="shared" ca="1" si="2"/>
        <v>45853.5</v>
      </c>
      <c r="B18" s="8">
        <f>ROW()</f>
        <v>18</v>
      </c>
      <c r="C18" s="8" t="s">
        <v>153</v>
      </c>
      <c r="D18" s="34" cm="1">
        <f t="array" aca="1" ref="D18" ca="1">_xldudf_CALCULATE_WORKING_COMPLETION_TIME(A18,B18*60,calendar_rules[#All],calendar_exceptions[#All],C18)</f>
        <v>45855.583333333336</v>
      </c>
    </row>
    <row r="19" spans="1:4" ht="15" customHeight="1" x14ac:dyDescent="0.35">
      <c r="A19" s="34">
        <f t="shared" ca="1" si="2"/>
        <v>45853.5</v>
      </c>
      <c r="B19" s="8">
        <f>ROW()</f>
        <v>19</v>
      </c>
      <c r="C19" s="8" t="s">
        <v>153</v>
      </c>
      <c r="D19" s="34" cm="1">
        <f t="array" aca="1" ref="D19" ca="1">_xldudf_CALCULATE_WORKING_COMPLETION_TIME(A19,B19*60,calendar_rules[#All],calendar_exceptions[#All],C19)</f>
        <v>45855.625</v>
      </c>
    </row>
    <row r="20" spans="1:4" ht="15" customHeight="1" x14ac:dyDescent="0.35">
      <c r="A20" s="34">
        <f t="shared" ca="1" si="2"/>
        <v>45853.5</v>
      </c>
      <c r="B20" s="8">
        <f>ROW()</f>
        <v>20</v>
      </c>
      <c r="C20" s="8" t="s">
        <v>153</v>
      </c>
      <c r="D20" s="34" cm="1">
        <f t="array" aca="1" ref="D20" ca="1">_xldudf_CALCULATE_WORKING_COMPLETION_TIME(A20,B20*60,calendar_rules[#All],calendar_exceptions[#All],C20)</f>
        <v>45855.666666666664</v>
      </c>
    </row>
  </sheetData>
  <conditionalFormatting sqref="D6">
    <cfRule type="expression" dxfId="3" priority="1" stopIfTrue="1">
      <formula>ISERROR(OFFSET($D$7,-1,0,1))</formula>
    </cfRule>
    <cfRule type="expression" dxfId="2"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28674" r:id="rId5" name="Upd_Button">
              <controlPr defaultSize="0" print="0" autoFill="0" autoPict="0" macro="[0]!Upd_Schedule">
                <anchor moveWithCells="1" sizeWithCells="1">
                  <from>
                    <xdr:col>2</xdr:col>
                    <xdr:colOff>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28675" r:id="rId6" name="Button 3">
              <controlPr defaultSize="0" print="0" autoFill="0" autoPict="0" macro="[0]!aatest">
                <anchor moveWithCells="1" sizeWithCells="1">
                  <from>
                    <xdr:col>4</xdr:col>
                    <xdr:colOff>0</xdr:colOff>
                    <xdr:row>1</xdr:row>
                    <xdr:rowOff>0</xdr:rowOff>
                  </from>
                  <to>
                    <xdr:col>6</xdr:col>
                    <xdr:colOff>0</xdr:colOff>
                    <xdr:row>3</xdr:row>
                    <xdr:rowOff>0</xdr:rowOff>
                  </to>
                </anchor>
              </controlPr>
            </control>
          </mc:Choice>
        </mc:AlternateContent>
        <mc:AlternateContent xmlns:mc="http://schemas.openxmlformats.org/markup-compatibility/2006">
          <mc:Choice Requires="x14">
            <control shapeId="28676" r:id="rId7" name="Button 4">
              <controlPr defaultSize="0" print="0" autoFill="0" autoPict="0" macro="[0]!Schedule_formula_copy">
                <anchor moveWithCells="1" sizeWithCells="1">
                  <from>
                    <xdr:col>6</xdr:col>
                    <xdr:colOff>0</xdr:colOff>
                    <xdr:row>1</xdr:row>
                    <xdr:rowOff>0</xdr:rowOff>
                  </from>
                  <to>
                    <xdr:col>8</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ca="1">INDIRECT($B8&amp;"!"&amp;INDEX(G$2:G$5,$A8)&amp;$E8)</f>
        <v>#REF!</v>
      </c>
      <c r="H8" s="8" t="e">
        <f ca="1">INDIRECT($B8&amp;"!"&amp;INDEX(H$2:H$5,$A8)&amp;$E8)</f>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 t="shared" ref="M1:R1" si="1">SUBSTITUTE(ADDRESS(1,COLUMN(),4),"1","")</f>
        <v>M</v>
      </c>
      <c r="N1" s="11" t="str">
        <f t="shared" si="1"/>
        <v>N</v>
      </c>
      <c r="O1" s="11" t="str">
        <f t="shared" si="1"/>
        <v>O</v>
      </c>
      <c r="P1" s="11" t="str">
        <f t="shared" si="1"/>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t="s">
        <v>29</v>
      </c>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1" priority="1" stopIfTrue="1">
      <formula>ISERROR(OFFSET($D$7,-1,0,1))</formula>
    </cfRule>
    <cfRule type="expression" dxfId="0"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58" t="s">
        <v>83</v>
      </c>
      <c r="B31" s="58"/>
      <c r="C31" s="58"/>
      <c r="D31" s="58"/>
      <c r="E31" s="58"/>
      <c r="F31" s="58"/>
      <c r="G31" s="58"/>
      <c r="H31" s="58"/>
      <c r="I31" s="58"/>
      <c r="J31" s="58"/>
      <c r="K31" s="58"/>
      <c r="L31" s="58"/>
      <c r="M31" s="58"/>
      <c r="N31" s="58"/>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17"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Menu</vt:lpstr>
      <vt:lpstr>PARA</vt:lpstr>
      <vt:lpstr>calendar_rules</vt:lpstr>
      <vt:lpstr>calendar_exceptions</vt:lpstr>
      <vt:lpstr>Schedule</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2025-07-15T10:29:34Z</dcterms:modified>
</cp:coreProperties>
</file>