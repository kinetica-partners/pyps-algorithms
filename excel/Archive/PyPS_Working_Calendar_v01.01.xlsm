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pivotTables/pivotTable1.xml" ContentType="application/vnd.openxmlformats-officedocument.spreadsheetml.pivotTab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PyPS_Scheduling_Algorithms\excel\"/>
    </mc:Choice>
  </mc:AlternateContent>
  <xr:revisionPtr revIDLastSave="0" documentId="13_ncr:1_{833B854E-ED01-4CE9-BACE-8CE2F8211A83}" xr6:coauthVersionLast="47" xr6:coauthVersionMax="47" xr10:uidLastSave="{00000000-0000-0000-0000-000000000000}"/>
  <bookViews>
    <workbookView xWindow="-38510" yWindow="-110" windowWidth="38620" windowHeight="21100" tabRatio="845" firstSheet="1" activeTab="4" xr2:uid="{A2E59CFF-F12A-49C3-849B-D90F8117FF36}"/>
  </bookViews>
  <sheets>
    <sheet name="Menu" sheetId="2" r:id="rId1"/>
    <sheet name="PARA" sheetId="3" r:id="rId2"/>
    <sheet name="calendar_rules" sheetId="24" r:id="rId3"/>
    <sheet name="calendar_exceptions" sheetId="25" r:id="rId4"/>
    <sheet name="Schedule" sheetId="26" r:id="rId5"/>
    <sheet name="Query_Template" sheetId="4" r:id="rId6"/>
    <sheet name="Parameter_Template" sheetId="9" r:id="rId7"/>
    <sheet name="Stack_Template" sheetId="8" r:id="rId8"/>
    <sheet name="Table_Template" sheetId="5" r:id="rId9"/>
    <sheet name="Pivot_Template" sheetId="6" r:id="rId10"/>
    <sheet name="ModuleList_Template" sheetId="23" r:id="rId11"/>
    <sheet name="QuickReference" sheetId="21" r:id="rId12"/>
  </sheets>
  <functionGroups builtInGroupCount="19"/>
  <definedNames>
    <definedName name="_xleta.TODAY" hidden="1" xlm="1">#NAME?</definedName>
    <definedName name="calendar_exceptions_AllClear">OFFSET('calendar_exceptions'!$A$10,1,0,COUNTA('calendar_exceptions'!$A$10:$A$1048576),COUNTA('calendar_exceptions'!$10:$10))</definedName>
    <definedName name="calendar_exceptions_Clear">OFFSET('calendar_exceptions'!$I$10,1,0,MAX(COUNTA('calendar_exceptions'!$A$10:$A$1048576)-1,COUNTA('calendar_exceptions'!$I$10:$I$1048576)-1),MAX(COUNTA('calendar_exceptions'!$8:$8),1))</definedName>
    <definedName name="calendar_exceptions_Formulas">OFFSET('calendar_exceptions'!$I$8,0,0,1,MAX(COUNTA('calendar_exceptions'!$8:$8),1))</definedName>
    <definedName name="calendar_exceptions_Results">OFFSET('calendar_exceptions'!$I$10,1,0,MAX(COUNTA('calendar_exceptions'!$A$10:$A$1048576)-1,1),MAX(COUNTA('calendar_exceptions'!$8:$8),1))</definedName>
    <definedName name="calendar_exceptions_Table">OFFSET('calendar_exceptions'!$A$10,0,0,COUNTA('calendar_exceptions'!$A$10:$A$1048576),COUNTA('calendar_exceptions'!$10:$10))</definedName>
    <definedName name="calendar_rules_AllClear">OFFSET('calendar_rules'!$A$10,1,0,COUNTA('calendar_rules'!$A$10:$A$1048576),COUNTA('calendar_rules'!$10:$10))</definedName>
    <definedName name="calendar_rules_Clear">OFFSET('calendar_rules'!$F$10,1,0,MAX(COUNTA('calendar_rules'!$A$10:$A$1048576)-1,COUNTA('calendar_rules'!$F$10:$F$1048576)-1),MAX(COUNTA('calendar_rules'!$8:$8),1))</definedName>
    <definedName name="calendar_rules_Formulas">OFFSET('calendar_rules'!$F$8,0,0,1,MAX(COUNTA('calendar_rules'!$8:$8),1))</definedName>
    <definedName name="calendar_rules_Results">OFFSET('calendar_rules'!$F$10,1,0,MAX(COUNTA('calendar_rules'!$A$10:$A$1048576)-1,1),MAX(COUNTA('calendar_rules'!$8:$8),1))</definedName>
    <definedName name="calendar_rules_Table">OFFSET('calendar_rules'!$A$10,0,0,COUNTA('calendar_rules'!$A$10:$A$1048576),COUNTA('calendar_rules'!$10:$10))</definedName>
    <definedName name="EndRow" hidden="1">1048576</definedName>
    <definedName name="ExternalData_1" localSheetId="3" hidden="1">'calendar_exceptions'!$A$10:$F$30</definedName>
    <definedName name="ExternalData_1" localSheetId="2" hidden="1">'calendar_rules'!$A$10:$E$27</definedName>
    <definedName name="NoClean" localSheetId="0" hidden="1">TRUE</definedName>
    <definedName name="NoClean" localSheetId="1" hidden="1">TRUE</definedName>
    <definedName name="NoClean" localSheetId="6" hidden="1">TRUE</definedName>
    <definedName name="NoClean" localSheetId="11"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PARA_User_Folder">PARA!$B$18</definedName>
    <definedName name="Prv_Sht">"Schedule"</definedName>
    <definedName name="Prv_Sht_1st">"Schedule"</definedName>
    <definedName name="Schedule_Clear">OFFSET(Schedule!$A$10,1,0, MAX(COUNTA(Schedule!$A$10:$A$1048576)-1,Schedule!$D$6),MAX(COUNTA(Schedule!$8:$8),1))</definedName>
    <definedName name="Schedule_Formulas">OFFSET(Schedule!$A$8,0,0,1,MAX(COUNTA(Schedule!$8:$8),1))</definedName>
    <definedName name="Schedule_Results">OFFSET(Schedule!$A$10,1,0,Schedule!$D$6,MAX(COUNTA(Schedule!$8:$8),1))</definedName>
    <definedName name="Schedule_Table">OFFSET(Schedule!$A$10,0,0,COUNTA(Schedule!$A$10:$A$1048576),COUNTA(Schedule!$10:$10))</definedName>
    <definedName name="SheetType" localSheetId="3" hidden="1">"Query"</definedName>
    <definedName name="SheetType" localSheetId="2" hidden="1">"Query"</definedName>
    <definedName name="SheetType" localSheetId="0" hidden="1">"Menu"</definedName>
    <definedName name="SheetType" localSheetId="10" hidden="1">"ModuleList"</definedName>
    <definedName name="SheetType" localSheetId="1" hidden="1">"Parameter"</definedName>
    <definedName name="SheetType" localSheetId="6" hidden="1">"Parameter"</definedName>
    <definedName name="SheetType" localSheetId="9" hidden="1">"Pivot"</definedName>
    <definedName name="SheetType" localSheetId="5" hidden="1">"Query"</definedName>
    <definedName name="SheetType" localSheetId="4" hidden="1">"Table"</definedName>
    <definedName name="SheetType" localSheetId="7" hidden="1">"Stack"</definedName>
    <definedName name="SheetType" localSheetId="8" hidden="1">"Table"</definedName>
    <definedName name="Table_Template_Clear">OFFSET(Table_Template!$A$10,1,0,MAX(COUNTA(Table_Template!$A$10:$A$1048576)-1,COUNTA(Table_Template!$A$10:$A$1048576)-1),MAX(COUNTA(Table_Template!$8:$8),1))</definedName>
    <definedName name="Table_Template_Formulas">OFFSET(Table_Template!$A$8,0,0,1,MAX(COUNTA(Table_Template!$8:$8),1))</definedName>
    <definedName name="Table_Template_Results">OFFSET(Table_Template!$A$10,1,0,MAX(COUNTA(Table_Template!$A$10:$A$1048576)-1,1),MAX(COUNTA(Table_Template!$8:$8),1))</definedName>
    <definedName name="Table_Template_Table">OFFSET(Table_Template!$A$10,0,0,COUNTA(Table_Template!$A$10:$A$1048576),COUNTA(Table_Template!$10:$10))</definedName>
  </definedNames>
  <calcPr calcId="191029"/>
  <pivotCaches>
    <pivotCache cacheId="0"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26" l="1"/>
  <c r="A8" i="26"/>
  <c r="R1" i="26"/>
  <c r="Q1" i="26"/>
  <c r="P1" i="26"/>
  <c r="O1" i="26"/>
  <c r="N1" i="26"/>
  <c r="M1" i="26"/>
  <c r="L1" i="26"/>
  <c r="K1" i="26"/>
  <c r="J1" i="26"/>
  <c r="I1" i="26"/>
  <c r="H1" i="26"/>
  <c r="G1" i="26"/>
  <c r="F1" i="26"/>
  <c r="E1" i="26"/>
  <c r="D1" i="26"/>
  <c r="C1" i="26"/>
  <c r="B1" i="26"/>
  <c r="A1" i="26"/>
  <c r="D8" i="26" l="1" a="1"/>
  <c r="D8" i="26" s="1"/>
  <c r="M1" i="25" l="1"/>
  <c r="L1" i="25"/>
  <c r="K1" i="25"/>
  <c r="J1" i="25"/>
  <c r="I1" i="25"/>
  <c r="H1" i="25"/>
  <c r="G1" i="25"/>
  <c r="F1" i="25"/>
  <c r="E1" i="25"/>
  <c r="D1" i="25"/>
  <c r="C1" i="25"/>
  <c r="B1" i="25"/>
  <c r="A1" i="25"/>
  <c r="M1" i="24"/>
  <c r="L1" i="24"/>
  <c r="K1" i="24"/>
  <c r="J1" i="24"/>
  <c r="I1" i="24"/>
  <c r="H1" i="24"/>
  <c r="G1" i="24"/>
  <c r="F1" i="24"/>
  <c r="E1" i="24"/>
  <c r="D1" i="24"/>
  <c r="C1" i="24"/>
  <c r="B1" i="24"/>
  <c r="A1" i="24"/>
  <c r="B1" i="6"/>
  <c r="C1" i="6"/>
  <c r="D1" i="6"/>
  <c r="E1" i="6"/>
  <c r="F1" i="6"/>
  <c r="G1" i="6"/>
  <c r="H1" i="6"/>
  <c r="I1" i="6"/>
  <c r="J1" i="6"/>
  <c r="K1" i="6"/>
  <c r="L1" i="6"/>
  <c r="M1" i="6"/>
  <c r="N1" i="6"/>
  <c r="O1" i="6"/>
  <c r="P1" i="6"/>
  <c r="Q1" i="6"/>
  <c r="R1" i="6"/>
  <c r="S1" i="6"/>
  <c r="T1" i="6"/>
  <c r="U1" i="6"/>
  <c r="V1" i="6"/>
  <c r="W1" i="6"/>
  <c r="X1" i="6"/>
  <c r="Y1" i="6"/>
  <c r="Z1" i="6"/>
  <c r="B15" i="3"/>
  <c r="D4" i="8" l="1"/>
  <c r="D5" i="8"/>
  <c r="B13" i="3" l="1"/>
  <c r="B16" i="3"/>
  <c r="Z1" i="23" l="1"/>
  <c r="Y1" i="23"/>
  <c r="X1" i="23"/>
  <c r="W1" i="23"/>
  <c r="V1" i="23"/>
  <c r="U1" i="23"/>
  <c r="T1" i="23"/>
  <c r="S1" i="23"/>
  <c r="R1" i="23"/>
  <c r="Q1" i="23"/>
  <c r="P1" i="23"/>
  <c r="O1" i="23"/>
  <c r="N1" i="23"/>
  <c r="M1" i="23"/>
  <c r="L1" i="23"/>
  <c r="K1" i="23"/>
  <c r="J1" i="23"/>
  <c r="I1" i="23"/>
  <c r="H1" i="23"/>
  <c r="G1" i="23"/>
  <c r="F1" i="23"/>
  <c r="E1" i="23"/>
  <c r="D1" i="23"/>
  <c r="C1" i="23"/>
  <c r="B1" i="23"/>
  <c r="A1" i="23"/>
  <c r="B11" i="3" l="1"/>
  <c r="Z1" i="9" l="1"/>
  <c r="Y1" i="9"/>
  <c r="X1" i="9"/>
  <c r="W1" i="9"/>
  <c r="V1" i="9"/>
  <c r="U1" i="9"/>
  <c r="T1" i="9"/>
  <c r="S1" i="9"/>
  <c r="R1" i="9"/>
  <c r="Q1" i="9"/>
  <c r="P1" i="9"/>
  <c r="O1" i="9"/>
  <c r="N1" i="9"/>
  <c r="M1" i="9"/>
  <c r="L1" i="9"/>
  <c r="K1" i="9"/>
  <c r="J1" i="9"/>
  <c r="I1" i="9"/>
  <c r="H1" i="9"/>
  <c r="G1" i="9"/>
  <c r="F1" i="9"/>
  <c r="E1" i="9"/>
  <c r="D1" i="9"/>
  <c r="C1" i="9"/>
  <c r="B1" i="9"/>
  <c r="A1" i="9"/>
  <c r="H10" i="8"/>
  <c r="G10" i="8"/>
  <c r="F10" i="8"/>
  <c r="A8" i="8"/>
  <c r="A6" i="8"/>
  <c r="C5" i="8"/>
  <c r="A5" i="8"/>
  <c r="C4" i="8"/>
  <c r="A4" i="8"/>
  <c r="C3" i="8"/>
  <c r="A3" i="8"/>
  <c r="C2" i="8"/>
  <c r="A2" i="8"/>
  <c r="A1" i="6"/>
  <c r="R1" i="5"/>
  <c r="Q1" i="5"/>
  <c r="P1" i="5"/>
  <c r="O1" i="5"/>
  <c r="N1" i="5"/>
  <c r="M1" i="5"/>
  <c r="L1" i="5"/>
  <c r="K1" i="5"/>
  <c r="J1" i="5"/>
  <c r="I1" i="5"/>
  <c r="H1" i="5"/>
  <c r="G1" i="5"/>
  <c r="F1" i="5"/>
  <c r="E1" i="5"/>
  <c r="D1" i="5"/>
  <c r="C1" i="5"/>
  <c r="B1" i="5"/>
  <c r="A1" i="5"/>
  <c r="M1" i="4"/>
  <c r="L1" i="4"/>
  <c r="K1" i="4"/>
  <c r="J1" i="4"/>
  <c r="I1" i="4"/>
  <c r="H1" i="4"/>
  <c r="G1" i="4"/>
  <c r="F1" i="4"/>
  <c r="E1" i="4"/>
  <c r="D1" i="4"/>
  <c r="C1" i="4"/>
  <c r="B1" i="4"/>
  <c r="A1" i="4"/>
  <c r="X1" i="3"/>
  <c r="W1" i="3"/>
  <c r="V1" i="3"/>
  <c r="U1" i="3"/>
  <c r="T1" i="3"/>
  <c r="S1" i="3"/>
  <c r="R1" i="3"/>
  <c r="Q1" i="3"/>
  <c r="P1" i="3"/>
  <c r="O1" i="3"/>
  <c r="N1" i="3"/>
  <c r="M1" i="3"/>
  <c r="L1" i="3"/>
  <c r="K1" i="3"/>
  <c r="J1" i="3"/>
  <c r="I1" i="3"/>
  <c r="H1" i="3"/>
  <c r="G1" i="3"/>
  <c r="F1" i="3"/>
  <c r="E1" i="3"/>
  <c r="D1" i="3"/>
  <c r="C1" i="3"/>
  <c r="B1" i="3"/>
  <c r="A1" i="3"/>
  <c r="D3" i="8"/>
  <c r="D2" i="8"/>
  <c r="C8" i="8" l="1"/>
  <c r="E8" i="8" s="1"/>
  <c r="B8" i="8"/>
  <c r="D6" i="8"/>
  <c r="D8" i="8"/>
  <c r="F8" i="8"/>
  <c r="H8" i="8"/>
  <c r="G8"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6A92AD-5EDC-4DE0-A489-7F8F0C37BCBB}" keepAlive="1" name="Query - calendar_exceptions" description="Connection to the 'calendar_exceptions' query in the workbook." type="5" refreshedVersion="8" background="1" saveData="1">
    <dbPr connection="Provider=Microsoft.Mashup.OleDb.1;Data Source=$Workbook$;Location=calendar_exceptions;Extended Properties=&quot;&quot;" command="SELECT * FROM [calendar_exceptions]"/>
  </connection>
  <connection id="2" xr16:uid="{DFCF4066-4024-4A87-9CBC-27B72993DD13}" keepAlive="1" name="Query - calendar_rules" description="Connection to the 'calendar_rules' query in the workbook." type="5" refreshedVersion="8" background="1" saveData="1">
    <dbPr connection="Provider=Microsoft.Mashup.OleDb.1;Data Source=$Workbook$;Location=calendar_rules;Extended Properties=&quot;&quot;" command="SELECT * FROM [calendar_rul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<sst xmlns="http://schemas.openxmlformats.org/spreadsheetml/2006/main" count="258" uniqueCount="171">
  <si>
    <t>PARA_Value</t>
  </si>
  <si>
    <t>FilePath Data Local</t>
  </si>
  <si>
    <t>Start of Refresh</t>
  </si>
  <si>
    <t>Stop of Refresh</t>
  </si>
  <si>
    <t>Run Duration</t>
  </si>
  <si>
    <t>Last Change:</t>
  </si>
  <si>
    <t>Template Version:</t>
  </si>
  <si>
    <t>Last PARA_Update</t>
  </si>
  <si>
    <t>PARA_Name</t>
  </si>
  <si>
    <t>PARA_FilePath_Data_Netwk</t>
  </si>
  <si>
    <t>PARA_FilePath_Data_Local</t>
  </si>
  <si>
    <t>Records:</t>
  </si>
  <si>
    <t>c</t>
  </si>
  <si>
    <t>Pivot_Template</t>
  </si>
  <si>
    <t>TableNo</t>
  </si>
  <si>
    <t>SheetName</t>
  </si>
  <si>
    <t>FirstRow</t>
  </si>
  <si>
    <t>LastRow</t>
  </si>
  <si>
    <t>Date</t>
  </si>
  <si>
    <t>Qty</t>
  </si>
  <si>
    <t>Demand</t>
  </si>
  <si>
    <t>Supply</t>
  </si>
  <si>
    <t>Row</t>
  </si>
  <si>
    <t>Output</t>
  </si>
  <si>
    <t>Sort1</t>
  </si>
  <si>
    <t>Sort2</t>
  </si>
  <si>
    <t>Sort3</t>
  </si>
  <si>
    <t>Sort4</t>
  </si>
  <si>
    <t>Last Menu Sheet Change:</t>
  </si>
  <si>
    <t>o</t>
  </si>
  <si>
    <t>v</t>
  </si>
  <si>
    <t>k</t>
  </si>
  <si>
    <t>x</t>
  </si>
  <si>
    <t>d</t>
  </si>
  <si>
    <t>u</t>
  </si>
  <si>
    <t>PARA_Run_Duration</t>
  </si>
  <si>
    <t xml:space="preserve"> </t>
  </si>
  <si>
    <t>PARA_FilePath_Input_Local</t>
  </si>
  <si>
    <t>PARA_FilePath_Modules</t>
  </si>
  <si>
    <t>Quick Keys</t>
  </si>
  <si>
    <t>f</t>
  </si>
  <si>
    <t>p</t>
  </si>
  <si>
    <t>r</t>
  </si>
  <si>
    <t>t</t>
  </si>
  <si>
    <t>.</t>
  </si>
  <si>
    <t>Freeze Panes</t>
  </si>
  <si>
    <t>Copy Sheet</t>
  </si>
  <si>
    <t>Create TableCSV from headers selection</t>
  </si>
  <si>
    <t>Create Table2 from headers selection</t>
  </si>
  <si>
    <t>CTRL+Shift+</t>
  </si>
  <si>
    <t>Sort</t>
  </si>
  <si>
    <t>TXT_Int</t>
  </si>
  <si>
    <t>TXT_Loc</t>
  </si>
  <si>
    <t>CSV_Int</t>
  </si>
  <si>
    <t>CSV_Loc</t>
  </si>
  <si>
    <t>OUT</t>
  </si>
  <si>
    <t>RUN</t>
  </si>
  <si>
    <t>Automation others</t>
  </si>
  <si>
    <t>Automation general</t>
  </si>
  <si>
    <t>Run External Workbook</t>
  </si>
  <si>
    <t>Automation statements (4 rows above the _Table headers, therefore row 6 in a standard template)</t>
  </si>
  <si>
    <t>Special worksheet functions</t>
  </si>
  <si>
    <t>=TEXTI(value, international format)</t>
  </si>
  <si>
    <t>It works the hardcoded date local formats issue of = TEXT() by accepting the international format</t>
  </si>
  <si>
    <r>
      <rPr>
        <b/>
        <sz val="11"/>
        <color theme="1"/>
        <rFont val="Calibri"/>
        <family val="2"/>
        <scheme val="minor"/>
      </rPr>
      <t>Important</t>
    </r>
    <r>
      <rPr>
        <sz val="11"/>
        <color theme="1"/>
        <rFont val="Calibri"/>
        <family val="2"/>
        <scheme val="minor"/>
      </rPr>
      <t>: the output statements are run AFTER all other statements on the same sheet</t>
    </r>
  </si>
  <si>
    <r>
      <rPr>
        <b/>
        <sz val="11"/>
        <color theme="1"/>
        <rFont val="Calibri"/>
        <family val="2"/>
        <scheme val="minor"/>
      </rPr>
      <t>Important:</t>
    </r>
    <r>
      <rPr>
        <sz val="11"/>
        <color theme="1"/>
        <rFont val="Calibri"/>
        <family val="2"/>
        <scheme val="minor"/>
      </rPr>
      <t xml:space="preserve"> the RUN statements are run BEFORE all other statements in the same sheet</t>
    </r>
  </si>
  <si>
    <t>Format Table Headings</t>
  </si>
  <si>
    <t>i</t>
  </si>
  <si>
    <t>Create Data name in selected column</t>
  </si>
  <si>
    <t>Output text file from selection</t>
  </si>
  <si>
    <t>Create Custom Table name from headers selection</t>
  </si>
  <si>
    <t>Create Column name from column selection</t>
  </si>
  <si>
    <t>Toggle Binary Values</t>
  </si>
  <si>
    <t>Sort1 SortKey1</t>
  </si>
  <si>
    <t>Format data range as Date (dd-mmm-yy)</t>
  </si>
  <si>
    <t>Format data range as integer</t>
  </si>
  <si>
    <t>Format data range as decimal</t>
  </si>
  <si>
    <t>Set active sheet as a Report</t>
  </si>
  <si>
    <t>Sort2 SortKey1 SortKey2 xld xla</t>
  </si>
  <si>
    <t>Sort3 SortKey1 SortKey2 SortKey3 xld xla xld</t>
  </si>
  <si>
    <t>e.g.</t>
  </si>
  <si>
    <t>Automation commands are placed in row 6 above the data table they apply to.</t>
  </si>
  <si>
    <t>Sort4 SortKey1 SortKey2 SortKey3 SortKey4 xld xla xld xla</t>
  </si>
  <si>
    <r>
      <rPr>
        <b/>
        <sz val="11"/>
        <color theme="1"/>
        <rFont val="Calibri"/>
        <family val="2"/>
        <scheme val="minor"/>
      </rPr>
      <t>Important:</t>
    </r>
    <r>
      <rPr>
        <sz val="11"/>
        <color theme="1"/>
        <rFont val="Calibri"/>
        <family val="2"/>
        <scheme val="minor"/>
      </rPr>
      <t xml:space="preserve">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r>
  </si>
  <si>
    <t>Flexible text output generation, the syntax is:</t>
  </si>
  <si>
    <t>RUN FileToRun.xlsm MacroName</t>
  </si>
  <si>
    <t>Any pivot filter that is in place when the Automation builds the routines will be restored automatically every time the sheet runs</t>
  </si>
  <si>
    <t>Pivot Filters</t>
  </si>
  <si>
    <t>An Italics format on headers generates the paste down of the formats of the formulas in the same Formulas Range</t>
  </si>
  <si>
    <t>This statement is intended for complex formats and advanced use - check the function OutputTableName out for details.</t>
  </si>
  <si>
    <t>PARA_FilePath_Archive</t>
  </si>
  <si>
    <t>It is possible to control the workflow by the NEXT statement (see below).</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</si>
  <si>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</si>
  <si>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</si>
  <si>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</si>
  <si>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</si>
  <si>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</si>
  <si>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</si>
  <si>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r>
      <rPr>
        <b/>
        <sz val="11"/>
        <color theme="1"/>
        <rFont val="Calibri"/>
        <family val="2"/>
        <scheme val="minor"/>
      </rPr>
      <t>Important:</t>
    </r>
    <r>
      <rPr>
        <sz val="11"/>
        <color theme="1"/>
        <rFont val="Calibri"/>
        <family val="2"/>
        <scheme val="minor"/>
      </rPr>
      <t xml:space="preserve"> a misusage of the NEXT statement could generate infinite loops, if correclty used enables branches and loops.</t>
    </r>
  </si>
  <si>
    <t>Switching off workbook automatic calculations</t>
  </si>
  <si>
    <t>This speeds up the macro execution  if the user keeps open large live formulas workbooks.</t>
  </si>
  <si>
    <r>
      <rPr>
        <b/>
        <sz val="11"/>
        <color theme="1"/>
        <rFont val="Calibri"/>
        <family val="2"/>
        <scheme val="minor"/>
      </rPr>
      <t>Prv_Sht,</t>
    </r>
    <r>
      <rPr>
        <sz val="11"/>
        <color theme="1"/>
        <rFont val="Calibri"/>
        <family val="2"/>
        <scheme val="minor"/>
      </rPr>
      <t xml:space="preserve"> a named range not referring to cells, is used to keep track of the previous sheet elaborated:</t>
    </r>
  </si>
  <si>
    <t>e</t>
  </si>
  <si>
    <t>Select errors</t>
  </si>
  <si>
    <r>
      <rPr>
        <b/>
        <sz val="11"/>
        <color theme="1"/>
        <rFont val="Calibri"/>
        <family val="2"/>
        <scheme val="minor"/>
      </rPr>
      <t>Prv_Sht_1st,</t>
    </r>
    <r>
      <rPr>
        <sz val="11"/>
        <color theme="1"/>
        <rFont val="Calibri"/>
        <family val="2"/>
        <scheme val="minor"/>
      </rPr>
      <t xml:space="preserve"> another named range not referring to cells, is used to keep track of the current sheet elaborated</t>
    </r>
  </si>
  <si>
    <t xml:space="preserve"> it can be used either to set up formulas dependending from which was the previous sheet </t>
  </si>
  <si>
    <t xml:space="preserve">or to select which will be the next sheet on the basis of the previous one </t>
  </si>
  <si>
    <t>An Underline format on headers generates the paste down of the formats of the formula in the same Formulas Range and keeps the formulas alive (instead of pasting down the corresponding values).</t>
  </si>
  <si>
    <t>Formatting and Live formulas</t>
  </si>
  <si>
    <r>
      <rPr>
        <b/>
        <sz val="11"/>
        <color theme="1"/>
        <rFont val="Calibri"/>
        <family val="2"/>
        <scheme val="minor"/>
      </rPr>
      <t>Important:</t>
    </r>
    <r>
      <rPr>
        <sz val="11"/>
        <color theme="1"/>
        <rFont val="Calibri"/>
        <family val="2"/>
        <scheme val="minor"/>
      </rPr>
      <t xml:space="preserve"> Underline is overruling Italics</t>
    </r>
  </si>
  <si>
    <t>Macro</t>
  </si>
  <si>
    <t>Path</t>
  </si>
  <si>
    <t>Workbook</t>
  </si>
  <si>
    <t>Duration</t>
  </si>
  <si>
    <t>KeepItOpen</t>
  </si>
  <si>
    <t xml:space="preserve">The automatic macro generation works on visible sheets originated from Query, Table, Stack, Pivot, Parameter, ModuleList templates. </t>
  </si>
  <si>
    <t>Currently running  →</t>
  </si>
  <si>
    <r>
      <t>OUT TableName</t>
    </r>
    <r>
      <rPr>
        <sz val="11"/>
        <color theme="1" tint="0.249977111117893"/>
        <rFont val="Calibri"/>
        <family val="2"/>
        <scheme val="minor"/>
      </rPr>
      <t xml:space="preserve"> OutFile </t>
    </r>
    <r>
      <rPr>
        <sz val="11"/>
        <color theme="1" tint="0.34998626667073579"/>
        <rFont val="Calibri"/>
        <family val="2"/>
        <scheme val="minor"/>
      </rPr>
      <t xml:space="preserve">ListSeparator DecimalSeparator TextIdentifier TrueString FalseString </t>
    </r>
    <r>
      <rPr>
        <sz val="11"/>
        <color theme="1"/>
        <rFont val="Calibri"/>
        <family val="2"/>
        <scheme val="minor"/>
      </rPr>
      <t>TimeStamp</t>
    </r>
  </si>
  <si>
    <t>Only the TableName parameter is mandatory the following 7 are optional,  use vbTab  as Tab separator, use "" has a place holder for empty parameters, strings within double quotes are accepted too as parameters</t>
  </si>
  <si>
    <t>Output &lt;SheetName&gt;_Table2 tab separated text file international format, default name &lt;SheetName&gt;.txt</t>
  </si>
  <si>
    <t>Output &lt;SheetName&gt;_Table2 tab separated text local format, default name &lt;SheetName&gt;.txt</t>
  </si>
  <si>
    <t>Output &lt;SheetName&gt;_TableCSV character separated text file international format, default name &lt;SheetName&gt;.csv</t>
  </si>
  <si>
    <t>Output &lt;SheetName&gt;_TableCSV character separated text local format,, default name &lt;SheetName&gt;.txt</t>
  </si>
  <si>
    <t>OutFile can include a path to a location, if it includes spaces (" ") it must be enclosed within ' (single quote);  the TimeStamp format is US_en one. The function silently removes filename invalid characters and changes spaces with _ (underscore).</t>
  </si>
  <si>
    <t>Common to TXT_Int, TXT_Loc, CSV_Int, CSV_Loc</t>
  </si>
  <si>
    <t>It works from sheet to sheet, left to right.  Therefore any inputs to a sheet must come from another sheet to its left.  The same left to right logic is used inside each sheet.</t>
  </si>
  <si>
    <t>Sort according to up to 4 Sort Keys (field heading) and then an optional sort order, xla (ascending) or xld (descending), default sort order is ascending.</t>
  </si>
  <si>
    <t>The 4 statements above accept 2 optional parameters:</t>
  </si>
  <si>
    <t>- if there are two parameters, the first one is taken as table name (i.e Table2), the second as file name.</t>
  </si>
  <si>
    <t>TXT_Int Table2 Filename.txt</t>
  </si>
  <si>
    <t>TXT_Int 'C:\New Folder\Filename.txt'</t>
  </si>
  <si>
    <t>TXT_Int C:\P-S_Test\Data\Filename.txt</t>
  </si>
  <si>
    <t>- if there is one parameter, it's assumed to be the output filename including the path, it has to be enclosed within ' (single quotes) if the parameter contains spaces.</t>
  </si>
  <si>
    <t>ItemCode</t>
  </si>
  <si>
    <t>a</t>
  </si>
  <si>
    <t>Switch automation on/off toggle</t>
  </si>
  <si>
    <t>It accepts up to 4 parameters: file name (with extension .xlsm or .xlsb), macro name, to keep the file open after running it (TRUE or FALSE.  Optional, default FALSE), location of the workbook (Optional, default: PARA_Filepath_Modules)</t>
  </si>
  <si>
    <t>l</t>
  </si>
  <si>
    <t>Remove the worksheet name from the formulas on the same worksheet</t>
  </si>
  <si>
    <t>PARA_Keep_Query_Data</t>
  </si>
  <si>
    <t>Query Template query range clear ON/OFF</t>
  </si>
  <si>
    <t>If the PARA_AutoCalc_Off parameter exists and it's set to TRUE, the macro generated switches off the workbook automatic calculations and resets the original calculations status at the end.</t>
  </si>
  <si>
    <t>If the PARA_Keep_Query_Data parameter exists and it's set to 1, the imported data range is not cleared when updating.</t>
  </si>
  <si>
    <t>C:\P-S_Test\Data</t>
  </si>
  <si>
    <t>L:\P-S_Test\Data</t>
  </si>
  <si>
    <t>DevTemplate_Professional_v4.4.16.xlsm</t>
  </si>
  <si>
    <t>PARA_User_Folder</t>
  </si>
  <si>
    <t>C:\Users\KienLeong</t>
  </si>
  <si>
    <t>id</t>
  </si>
  <si>
    <t>calendar_id</t>
  </si>
  <si>
    <t>weekday</t>
  </si>
  <si>
    <t>start_time</t>
  </si>
  <si>
    <t>end_time</t>
  </si>
  <si>
    <t>calA</t>
  </si>
  <si>
    <t>Mon</t>
  </si>
  <si>
    <t>Tue</t>
  </si>
  <si>
    <t>Wed</t>
  </si>
  <si>
    <t>Thu</t>
  </si>
  <si>
    <t>Fri</t>
  </si>
  <si>
    <t>calB</t>
  </si>
  <si>
    <t>calC</t>
  </si>
  <si>
    <t>Sat</t>
  </si>
  <si>
    <t>Sun</t>
  </si>
  <si>
    <t>date</t>
  </si>
  <si>
    <t>is_working</t>
  </si>
  <si>
    <t>Hours</t>
  </si>
  <si>
    <t>StartDate</t>
  </si>
  <si>
    <t>StartDateTime</t>
  </si>
  <si>
    <t>StopDateTime</t>
  </si>
  <si>
    <t>Automation ON</t>
  </si>
  <si>
    <t>CalendarID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</si>
</sst>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h:mm:ss;@"/>
    <numFmt numFmtId="166" formatCode="dd\ mmm\ yy\ hh:mm\ AM/PM"/>
    <numFmt numFmtId="167" formatCode="[$-F400]h:mm:ss\ AM/PM"/>
  </numFmts>
  <fonts count="33" x14ac:knownFonts="1">
    <font>
      <sz val="11"/>
      <color theme="1"/>
      <name val="Calibri"/>
      <family val="2"/>
      <scheme val="minor"/>
    </font>
    <font>
      <sz val="11"/>
      <color theme="1"/>
      <name val="Calibri"/>
      <family val="2"/>
      <scheme val="minor"/>
    </font>
    <font>
      <sz val="11"/>
      <color rgb="FF000000"/>
      <name val="Calibri"/>
      <family val="2"/>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sz val="12"/>
      <color rgb="FF000000"/>
      <name val="Calibri"/>
      <family val="2"/>
    </font>
    <font>
      <sz val="14"/>
      <color rgb="FF000000"/>
      <name val="Calibri"/>
      <family val="2"/>
    </font>
    <font>
      <sz val="13"/>
      <color rgb="FF000000"/>
      <name val="Calibri"/>
      <family val="2"/>
    </font>
    <font>
      <b/>
      <sz val="12"/>
      <color theme="9"/>
      <name val="Calibri"/>
      <family val="2"/>
    </font>
    <font>
      <sz val="11"/>
      <name val="Calibri"/>
      <family val="2"/>
      <scheme val="minor"/>
    </font>
    <font>
      <b/>
      <sz val="11"/>
      <color theme="1"/>
      <name val="Calibri"/>
      <family val="2"/>
      <scheme val="minor"/>
    </font>
    <font>
      <sz val="8"/>
      <name val="Calibri"/>
      <family val="2"/>
      <scheme val="minor"/>
    </font>
    <font>
      <b/>
      <i/>
      <sz val="11"/>
      <color theme="1"/>
      <name val="Calibri"/>
      <family val="2"/>
      <scheme val="minor"/>
    </font>
    <font>
      <b/>
      <u/>
      <sz val="11"/>
      <color theme="1"/>
      <name val="Calibri"/>
      <family val="2"/>
      <scheme val="minor"/>
    </font>
    <font>
      <b/>
      <sz val="11"/>
      <color theme="1"/>
      <name val="Consolas"/>
      <family val="3"/>
    </font>
    <font>
      <sz val="11"/>
      <color theme="1" tint="0.249977111117893"/>
      <name val="Calibri"/>
      <family val="2"/>
      <scheme val="minor"/>
    </font>
    <font>
      <sz val="11"/>
      <color theme="1" tint="0.34998626667073579"/>
      <name val="Calibri"/>
      <family val="2"/>
      <scheme val="minor"/>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b/>
      <i/>
      <sz val="11"/>
      <color indexed="8"/>
      <name val="Calibri"/>
      <family val="2"/>
    </font>
    <font>
      <sz val="11"/>
      <color theme="9"/>
      <name val="Calibri"/>
      <family val="2"/>
      <scheme val="minor"/>
    </font>
  </fonts>
  <fills count="8">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s>
  <cellStyleXfs count="4">
    <xf numFmtId="0" fontId="0" fillId="0" borderId="0"/>
    <xf numFmtId="164" fontId="4" fillId="0" borderId="0"/>
    <xf numFmtId="0" fontId="1" fillId="0" borderId="0"/>
    <xf numFmtId="0" fontId="3" fillId="0" borderId="0"/>
  </cellStyleXfs>
  <cellXfs count="58">
    <xf numFmtId="0" fontId="0" fillId="0" borderId="0" xfId="0"/>
    <xf numFmtId="164" fontId="4" fillId="0" borderId="0" xfId="1"/>
    <xf numFmtId="0" fontId="1" fillId="0" borderId="0" xfId="2"/>
    <xf numFmtId="164" fontId="5" fillId="0" borderId="0" xfId="1" applyFont="1"/>
    <xf numFmtId="0" fontId="6" fillId="0" borderId="0" xfId="2" applyFont="1" applyAlignment="1">
      <alignment vertical="center"/>
    </xf>
    <xf numFmtId="0" fontId="7" fillId="0" borderId="0" xfId="2" applyFont="1"/>
    <xf numFmtId="0" fontId="1" fillId="0" borderId="1" xfId="2" applyBorder="1"/>
    <xf numFmtId="166" fontId="1" fillId="0" borderId="1" xfId="2" applyNumberFormat="1" applyBorder="1" applyAlignment="1">
      <alignment horizontal="center"/>
    </xf>
    <xf numFmtId="0" fontId="3" fillId="0" borderId="0" xfId="3"/>
    <xf numFmtId="166" fontId="1" fillId="0" borderId="1" xfId="2" applyNumberFormat="1" applyBorder="1" applyAlignment="1">
      <alignment horizontal="left"/>
    </xf>
    <xf numFmtId="0" fontId="9" fillId="0" borderId="0" xfId="2" applyFont="1"/>
    <xf numFmtId="0" fontId="10" fillId="0" borderId="0" xfId="3" applyFont="1" applyAlignment="1">
      <alignment horizontal="center"/>
    </xf>
    <xf numFmtId="0" fontId="11" fillId="0" borderId="0" xfId="3" applyFont="1"/>
    <xf numFmtId="0" fontId="13" fillId="0" borderId="0" xfId="3" applyFont="1" applyAlignment="1">
      <alignment vertical="top" wrapText="1"/>
    </xf>
    <xf numFmtId="0" fontId="13" fillId="3" borderId="0" xfId="3" applyFont="1" applyFill="1" applyAlignment="1">
      <alignment vertical="top" wrapText="1"/>
    </xf>
    <xf numFmtId="0" fontId="3" fillId="4" borderId="2" xfId="3" applyFill="1" applyBorder="1" applyAlignment="1">
      <alignment horizontal="right"/>
    </xf>
    <xf numFmtId="0" fontId="3" fillId="0" borderId="2" xfId="3" applyBorder="1"/>
    <xf numFmtId="49" fontId="13" fillId="5" borderId="0" xfId="3" applyNumberFormat="1" applyFont="1" applyFill="1" applyAlignment="1">
      <alignment vertical="top" wrapText="1"/>
    </xf>
    <xf numFmtId="0" fontId="14" fillId="0" borderId="0" xfId="3" applyFont="1" applyAlignment="1">
      <alignment vertical="top" wrapText="1"/>
    </xf>
    <xf numFmtId="0" fontId="13" fillId="0" borderId="0" xfId="3" applyFont="1"/>
    <xf numFmtId="3" fontId="3" fillId="0" borderId="0" xfId="3" applyNumberFormat="1"/>
    <xf numFmtId="0" fontId="3" fillId="4" borderId="2" xfId="3" applyFill="1" applyBorder="1"/>
    <xf numFmtId="3" fontId="3" fillId="4" borderId="2" xfId="3" applyNumberFormat="1" applyFill="1" applyBorder="1"/>
    <xf numFmtId="49" fontId="13" fillId="6" borderId="0" xfId="3" applyNumberFormat="1" applyFont="1" applyFill="1" applyAlignment="1">
      <alignment vertical="top" wrapText="1"/>
    </xf>
    <xf numFmtId="0" fontId="1" fillId="0" borderId="0" xfId="2" applyAlignment="1">
      <alignment wrapText="1"/>
    </xf>
    <xf numFmtId="164" fontId="18" fillId="0" borderId="0" xfId="1" applyFont="1" applyAlignment="1">
      <alignment horizontal="center" vertical="center"/>
    </xf>
    <xf numFmtId="0" fontId="19" fillId="0" borderId="0" xfId="2" applyFont="1"/>
    <xf numFmtId="0" fontId="22" fillId="0" borderId="0" xfId="0" applyFont="1"/>
    <xf numFmtId="0" fontId="23" fillId="0" borderId="0" xfId="0" applyFont="1"/>
    <xf numFmtId="0" fontId="0" fillId="0" borderId="0" xfId="0" quotePrefix="1"/>
    <xf numFmtId="0" fontId="0" fillId="0" borderId="0" xfId="0" applyAlignment="1">
      <alignment horizontal="right"/>
    </xf>
    <xf numFmtId="49" fontId="24" fillId="0" borderId="0" xfId="0" applyNumberFormat="1" applyFont="1"/>
    <xf numFmtId="0" fontId="24" fillId="0" borderId="0" xfId="0" applyFont="1"/>
    <xf numFmtId="0" fontId="20" fillId="0" borderId="0" xfId="0" applyFont="1"/>
    <xf numFmtId="22" fontId="3" fillId="0" borderId="0" xfId="3" applyNumberFormat="1"/>
    <xf numFmtId="49" fontId="12" fillId="7" borderId="0" xfId="3" applyNumberFormat="1" applyFont="1" applyFill="1" applyAlignment="1">
      <alignment vertical="top" wrapText="1"/>
    </xf>
    <xf numFmtId="0" fontId="27" fillId="0" borderId="0" xfId="0" applyFont="1"/>
    <xf numFmtId="0" fontId="13" fillId="5" borderId="0" xfId="3" applyFont="1" applyFill="1" applyAlignment="1">
      <alignment vertical="top" wrapText="1"/>
    </xf>
    <xf numFmtId="0" fontId="20" fillId="0" borderId="0" xfId="2" applyFont="1" applyAlignment="1">
      <alignment vertical="top" wrapText="1"/>
    </xf>
    <xf numFmtId="0" fontId="12" fillId="2" borderId="0" xfId="3" applyFont="1" applyFill="1" applyAlignment="1">
      <alignment vertical="top" wrapText="1"/>
    </xf>
    <xf numFmtId="0" fontId="29" fillId="0" borderId="0" xfId="3" applyFont="1"/>
    <xf numFmtId="49" fontId="29" fillId="0" borderId="0" xfId="3" applyNumberFormat="1" applyFont="1" applyAlignment="1">
      <alignment vertical="top" wrapText="1"/>
    </xf>
    <xf numFmtId="0" fontId="29" fillId="0" borderId="0" xfId="3" applyFont="1" applyAlignment="1">
      <alignment horizontal="center"/>
    </xf>
    <xf numFmtId="0" fontId="8" fillId="0" borderId="0" xfId="3" applyFont="1"/>
    <xf numFmtId="14" fontId="8" fillId="0" borderId="0" xfId="3" applyNumberFormat="1" applyFont="1"/>
    <xf numFmtId="0" fontId="30" fillId="0" borderId="0" xfId="3" applyFont="1"/>
    <xf numFmtId="22" fontId="8" fillId="0" borderId="1" xfId="2" applyNumberFormat="1" applyFont="1" applyBorder="1"/>
    <xf numFmtId="0" fontId="29" fillId="0" borderId="1" xfId="2" applyFont="1" applyBorder="1"/>
    <xf numFmtId="0" fontId="4" fillId="0" borderId="0" xfId="1" applyNumberFormat="1"/>
    <xf numFmtId="0" fontId="28" fillId="0" borderId="0" xfId="1" applyNumberFormat="1" applyFont="1" applyAlignment="1">
      <alignment vertical="top" wrapText="1"/>
    </xf>
    <xf numFmtId="0" fontId="4" fillId="0" borderId="0" xfId="1" applyNumberFormat="1" applyAlignment="1">
      <alignment wrapText="1"/>
    </xf>
    <xf numFmtId="165" fontId="9" fillId="0" borderId="1" xfId="2" applyNumberFormat="1" applyFont="1" applyBorder="1" applyAlignment="1">
      <alignment horizontal="center"/>
    </xf>
    <xf numFmtId="0" fontId="8" fillId="0" borderId="1" xfId="2" applyFont="1" applyBorder="1"/>
    <xf numFmtId="167" fontId="3" fillId="0" borderId="0" xfId="3" applyNumberFormat="1"/>
    <xf numFmtId="14" fontId="3" fillId="0" borderId="0" xfId="3" applyNumberFormat="1"/>
    <xf numFmtId="49" fontId="31" fillId="5" borderId="0" xfId="3" applyNumberFormat="1" applyFont="1" applyFill="1" applyAlignment="1">
      <alignment vertical="top" wrapText="1"/>
    </xf>
    <xf numFmtId="0" fontId="32" fillId="0" borderId="0" xfId="2" applyFont="1" applyAlignment="1">
      <alignment horizontal="center"/>
    </xf>
    <xf numFmtId="0" fontId="0" fillId="0" borderId="0" xfId="0" applyAlignment="1">
      <alignment horizontal="left" vertical="top" wrapText="1"/>
    </xf>
  </cellXfs>
  <cellStyles count="4">
    <cellStyle name="Normal" xfId="0" builtinId="0"/>
    <cellStyle name="Normal 2" xfId="1" xr:uid="{9E556F55-F0E0-4725-AEA9-356252104FC6}"/>
    <cellStyle name="Normal 3" xfId="2" xr:uid="{6CF962F7-D630-4A9E-9883-B0AB1E937E57}"/>
    <cellStyle name="Normal 4" xfId="3" xr:uid="{15D23F96-4B7F-4A0C-BB23-FF8280CA562B}"/>
  </cellStyles>
  <dxfs count="14">
    <dxf>
      <font>
        <color theme="0" tint="-0.24994659260841701"/>
      </font>
    </dxf>
    <dxf>
      <font>
        <color theme="0" tint="-0.24994659260841701"/>
      </font>
    </dxf>
    <dxf>
      <font>
        <color theme="0" tint="-0.24994659260841701"/>
      </font>
    </dxf>
    <dxf>
      <font>
        <color theme="0" tint="-0.24994659260841701"/>
      </font>
    </dxf>
    <dxf>
      <numFmt numFmtId="167" formatCode="[$-F400]h:mm:ss\ AM/PM"/>
    </dxf>
    <dxf>
      <numFmt numFmtId="167" formatCode="[$-F400]h:mm:ss\ AM/PM"/>
    </dxf>
    <dxf>
      <numFmt numFmtId="19" formatCode="yyyy/mm/dd"/>
    </dxf>
    <dxf>
      <numFmt numFmtId="0" formatCode="Genera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numFmt numFmtId="167" formatCode="[$-F400]h:mm:ss\ AM/PM"/>
    </dxf>
    <dxf>
      <numFmt numFmtId="167" formatCode="[$-F400]h:mm:ss\ AM/PM"/>
    </dxf>
    <dxf>
      <numFmt numFmtId="0" formatCode="General"/>
    </dxf>
    <dxf>
      <numFmt numFmtId="0" formatCode="Genera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9589"/>
      <color rgb="FF2980B9"/>
      <color rgb="FFE74C3C"/>
      <color rgb="FF2C3E50"/>
      <color rgb="FF7F8C8D"/>
      <color rgb="FF34495E"/>
      <color rgb="FFECF0F1"/>
      <color rgb="FF3498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44</xdr:row>
          <xdr:rowOff>0</xdr:rowOff>
        </xdr:from>
        <xdr:to>
          <xdr:col>1</xdr:col>
          <xdr:colOff>0</xdr:colOff>
          <xdr:row>45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 Names</a:t>
              </a:r>
            </a:p>
          </xdr:txBody>
        </xdr:sp>
        <xdr:clientData fPrintsWithSheet="0"/>
      </xdr:twoCellAnchor>
    </mc:Choice>
    <mc:Fallback/>
  </mc:AlternateContent>
  <xdr:twoCellAnchor editAs="oneCell">
    <xdr:from>
      <xdr:col>0</xdr:col>
      <xdr:colOff>0</xdr:colOff>
      <xdr:row>1</xdr:row>
      <xdr:rowOff>0</xdr:rowOff>
    </xdr:from>
    <xdr:to>
      <xdr:col>3</xdr:col>
      <xdr:colOff>756802</xdr:colOff>
      <xdr:row>2</xdr:row>
      <xdr:rowOff>0</xdr:rowOff>
    </xdr:to>
    <xdr:grpSp>
      <xdr:nvGrpSpPr>
        <xdr:cNvPr id="2" name="Group 2">
          <a:extLst>
            <a:ext uri="{FF2B5EF4-FFF2-40B4-BE49-F238E27FC236}">
              <a16:creationId xmlns:a16="http://schemas.microsoft.com/office/drawing/2014/main" id="{00000000-0008-0000-0000-000002000000}"/>
            </a:ext>
          </a:extLst>
        </xdr:cNvPr>
        <xdr:cNvGrpSpPr>
          <a:grpSpLocks noChangeAspect="1"/>
        </xdr:cNvGrpSpPr>
      </xdr:nvGrpSpPr>
      <xdr:grpSpPr bwMode="auto">
        <a:xfrm>
          <a:off x="0" y="184150"/>
          <a:ext cx="5614552" cy="571500"/>
          <a:chOff x="21" y="17"/>
          <a:chExt cx="478" cy="57"/>
        </a:xfrm>
      </xdr:grpSpPr>
      <xdr:sp macro="" textlink="">
        <xdr:nvSpPr>
          <xdr:cNvPr id="3" name="Rectangle 3">
            <a:extLst>
              <a:ext uri="{FF2B5EF4-FFF2-40B4-BE49-F238E27FC236}">
                <a16:creationId xmlns:a16="http://schemas.microsoft.com/office/drawing/2014/main" id="{00000000-0008-0000-0000-000003000000}"/>
              </a:ext>
            </a:extLst>
          </xdr:cNvPr>
          <xdr:cNvSpPr>
            <a:spLocks noChangeArrowheads="1"/>
          </xdr:cNvSpPr>
        </xdr:nvSpPr>
        <xdr:spPr bwMode="auto">
          <a:xfrm>
            <a:off x="21" y="17"/>
            <a:ext cx="478" cy="57"/>
          </a:xfrm>
          <a:prstGeom prst="rect">
            <a:avLst/>
          </a:prstGeom>
          <a:solidFill>
            <a:srgbClr val="ECF0F1"/>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 name="Rectangle 4">
            <a:extLst>
              <a:ext uri="{FF2B5EF4-FFF2-40B4-BE49-F238E27FC236}">
                <a16:creationId xmlns:a16="http://schemas.microsoft.com/office/drawing/2014/main" id="{00000000-0008-0000-0000-000004000000}"/>
              </a:ext>
            </a:extLst>
          </xdr:cNvPr>
          <xdr:cNvSpPr>
            <a:spLocks noChangeArrowheads="1"/>
          </xdr:cNvSpPr>
        </xdr:nvSpPr>
        <xdr:spPr bwMode="auto">
          <a:xfrm>
            <a:off x="21" y="17"/>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 name="Rectangle 5">
            <a:extLst>
              <a:ext uri="{FF2B5EF4-FFF2-40B4-BE49-F238E27FC236}">
                <a16:creationId xmlns:a16="http://schemas.microsoft.com/office/drawing/2014/main" id="{00000000-0008-0000-0000-000005000000}"/>
              </a:ext>
            </a:extLst>
          </xdr:cNvPr>
          <xdr:cNvSpPr>
            <a:spLocks noChangeArrowheads="1"/>
          </xdr:cNvSpPr>
        </xdr:nvSpPr>
        <xdr:spPr bwMode="auto">
          <a:xfrm>
            <a:off x="91" y="36"/>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Rectangle 6">
            <a:extLst>
              <a:ext uri="{FF2B5EF4-FFF2-40B4-BE49-F238E27FC236}">
                <a16:creationId xmlns:a16="http://schemas.microsoft.com/office/drawing/2014/main" id="{00000000-0008-0000-0000-000006000000}"/>
              </a:ext>
            </a:extLst>
          </xdr:cNvPr>
          <xdr:cNvSpPr>
            <a:spLocks noChangeArrowheads="1"/>
          </xdr:cNvSpPr>
        </xdr:nvSpPr>
        <xdr:spPr bwMode="auto">
          <a:xfrm>
            <a:off x="161" y="55"/>
            <a:ext cx="105"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Rectangle 7">
            <a:extLst>
              <a:ext uri="{FF2B5EF4-FFF2-40B4-BE49-F238E27FC236}">
                <a16:creationId xmlns:a16="http://schemas.microsoft.com/office/drawing/2014/main" id="{00000000-0008-0000-0000-000007000000}"/>
              </a:ext>
            </a:extLst>
          </xdr:cNvPr>
          <xdr:cNvSpPr>
            <a:spLocks noChangeArrowheads="1"/>
          </xdr:cNvSpPr>
        </xdr:nvSpPr>
        <xdr:spPr bwMode="auto">
          <a:xfrm>
            <a:off x="21" y="17"/>
            <a:ext cx="478" cy="57"/>
          </a:xfrm>
          <a:prstGeom prst="rect">
            <a:avLst/>
          </a:prstGeom>
          <a:noFill/>
          <a:ln w="15875">
            <a:solidFill>
              <a:srgbClr val="7F8C8D"/>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 name="Line 8">
            <a:extLst>
              <a:ext uri="{FF2B5EF4-FFF2-40B4-BE49-F238E27FC236}">
                <a16:creationId xmlns:a16="http://schemas.microsoft.com/office/drawing/2014/main" id="{00000000-0008-0000-0000-000008000000}"/>
              </a:ext>
            </a:extLst>
          </xdr:cNvPr>
          <xdr:cNvSpPr>
            <a:spLocks noChangeShapeType="1"/>
          </xdr:cNvSpPr>
        </xdr:nvSpPr>
        <xdr:spPr bwMode="auto">
          <a:xfrm>
            <a:off x="9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a:off x="56"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126" y="17"/>
            <a:ext cx="0" cy="57"/>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1" name="Line 11">
            <a:extLst>
              <a:ext uri="{FF2B5EF4-FFF2-40B4-BE49-F238E27FC236}">
                <a16:creationId xmlns:a16="http://schemas.microsoft.com/office/drawing/2014/main" id="{00000000-0008-0000-0000-00000B000000}"/>
              </a:ext>
            </a:extLst>
          </xdr:cNvPr>
          <xdr:cNvSpPr>
            <a:spLocks noChangeShapeType="1"/>
          </xdr:cNvSpPr>
        </xdr:nvSpPr>
        <xdr:spPr bwMode="auto">
          <a:xfrm>
            <a:off x="16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2" name="Line 12">
            <a:extLst>
              <a:ext uri="{FF2B5EF4-FFF2-40B4-BE49-F238E27FC236}">
                <a16:creationId xmlns:a16="http://schemas.microsoft.com/office/drawing/2014/main" id="{00000000-0008-0000-0000-00000C000000}"/>
              </a:ext>
            </a:extLst>
          </xdr:cNvPr>
          <xdr:cNvSpPr>
            <a:spLocks noChangeShapeType="1"/>
          </xdr:cNvSpPr>
        </xdr:nvSpPr>
        <xdr:spPr bwMode="auto">
          <a:xfrm>
            <a:off x="21" y="36"/>
            <a:ext cx="140" cy="0"/>
          </a:xfrm>
          <a:prstGeom prst="line">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 name="Line 13">
            <a:extLst>
              <a:ext uri="{FF2B5EF4-FFF2-40B4-BE49-F238E27FC236}">
                <a16:creationId xmlns:a16="http://schemas.microsoft.com/office/drawing/2014/main" id="{00000000-0008-0000-0000-00000D000000}"/>
              </a:ext>
            </a:extLst>
          </xdr:cNvPr>
          <xdr:cNvSpPr>
            <a:spLocks noChangeShapeType="1"/>
          </xdr:cNvSpPr>
        </xdr:nvSpPr>
        <xdr:spPr bwMode="auto">
          <a:xfrm>
            <a:off x="21" y="55"/>
            <a:ext cx="245" cy="0"/>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19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231" y="55"/>
            <a:ext cx="0" cy="19"/>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6" name="Line 16">
            <a:extLst>
              <a:ext uri="{FF2B5EF4-FFF2-40B4-BE49-F238E27FC236}">
                <a16:creationId xmlns:a16="http://schemas.microsoft.com/office/drawing/2014/main" id="{00000000-0008-0000-0000-000010000000}"/>
              </a:ext>
            </a:extLst>
          </xdr:cNvPr>
          <xdr:cNvSpPr>
            <a:spLocks noChangeShapeType="1"/>
          </xdr:cNvSpPr>
        </xdr:nvSpPr>
        <xdr:spPr bwMode="auto">
          <a:xfrm>
            <a:off x="26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7" name="Text Box 17">
            <a:extLst>
              <a:ext uri="{FF2B5EF4-FFF2-40B4-BE49-F238E27FC236}">
                <a16:creationId xmlns:a16="http://schemas.microsoft.com/office/drawing/2014/main" id="{00000000-0008-0000-0000-000011000000}"/>
              </a:ext>
            </a:extLst>
          </xdr:cNvPr>
          <xdr:cNvSpPr txBox="1">
            <a:spLocks noChangeArrowheads="1"/>
          </xdr:cNvSpPr>
        </xdr:nvSpPr>
        <xdr:spPr bwMode="auto">
          <a:xfrm>
            <a:off x="167" y="19"/>
            <a:ext cx="332" cy="37"/>
          </a:xfrm>
          <a:prstGeom prst="rect">
            <a:avLst/>
          </a:prstGeom>
          <a:noFill/>
          <a:ln w="9525">
            <a:noFill/>
            <a:miter lim="800000"/>
            <a:headEnd/>
            <a:tailEnd/>
          </a:ln>
        </xdr:spPr>
        <xdr:txBody>
          <a:bodyPr vertOverflow="clip" wrap="square" lIns="36000" tIns="36000" rIns="36000" bIns="36000" anchor="t" upright="1"/>
          <a:lstStyle/>
          <a:p>
            <a:pPr algn="l" rtl="0">
              <a:defRPr sz="1000"/>
            </a:pPr>
            <a:r>
              <a:rPr lang="en-US" sz="2000" b="0" i="0" strike="noStrike">
                <a:solidFill>
                  <a:srgbClr val="2C3E50"/>
                </a:solidFill>
                <a:latin typeface="Arial"/>
                <a:cs typeface="Arial"/>
              </a:rPr>
              <a:t>Production-Scheduling.com</a:t>
            </a:r>
          </a:p>
        </xdr:txBody>
      </xdr:sp>
    </xdr:grpSp>
    <xdr:clientData/>
  </xdr:twoCellAnchor>
  <mc:AlternateContent xmlns:mc="http://schemas.openxmlformats.org/markup-compatibility/2006">
    <mc:Choice xmlns:a14="http://schemas.microsoft.com/office/drawing/2010/main" Requires="a14">
      <xdr:twoCellAnchor>
        <xdr:from>
          <xdr:col>0</xdr:col>
          <xdr:colOff>0</xdr:colOff>
          <xdr:row>3</xdr:row>
          <xdr:rowOff>0</xdr:rowOff>
        </xdr:from>
        <xdr:to>
          <xdr:col>1</xdr:col>
          <xdr:colOff>0</xdr:colOff>
          <xdr:row>4</xdr:row>
          <xdr:rowOff>0</xdr:rowOff>
        </xdr:to>
        <xdr:sp macro="" textlink="">
          <xdr:nvSpPr>
            <xdr:cNvPr id="1025" name="CopyFromNetwork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Copy Data from Network &amp;</a:t>
              </a:r>
            </a:p>
            <a:p>
              <a:pPr algn="ctr" rtl="0">
                <a:defRPr sz="1000"/>
              </a:pPr>
              <a:r>
                <a:rPr lang="en-GB" sz="13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1026" name="RunAll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400" b="0" i="0" u="none" strike="noStrike" baseline="0">
                  <a:solidFill>
                    <a:srgbClr val="000000"/>
                  </a:solidFill>
                  <a:latin typeface="Calibri"/>
                  <a:ea typeface="Calibri"/>
                  <a:cs typeface="Calibri"/>
                </a:rPr>
                <a:t>Update</a:t>
              </a:r>
            </a:p>
            <a:p>
              <a:pPr algn="ctr" rtl="0">
                <a:defRPr sz="1000"/>
              </a:pPr>
              <a:r>
                <a:rPr lang="en-GB" sz="1100" b="0" i="0" u="none" strike="noStrike" baseline="0">
                  <a:solidFill>
                    <a:srgbClr val="000000"/>
                  </a:solidFill>
                  <a:latin typeface="Calibri"/>
                  <a:ea typeface="Calibri"/>
                  <a:cs typeface="Calibri"/>
                </a:rPr>
                <a:t>from Local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Clean Data out of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20</xdr:row>
          <xdr:rowOff>0</xdr:rowOff>
        </xdr:from>
        <xdr:to>
          <xdr:col>5</xdr:col>
          <xdr:colOff>0</xdr:colOff>
          <xdr:row>22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0</xdr:rowOff>
        </xdr:from>
        <xdr:to>
          <xdr:col>1</xdr:col>
          <xdr:colOff>0</xdr:colOff>
          <xdr:row>46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Deep Clean Calc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4</xdr:col>
          <xdr:colOff>0</xdr:colOff>
          <xdr:row>45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Template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Update Text File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0</xdr:colOff>
          <xdr:row>46</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VBA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46</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Calculation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46</xdr:row>
          <xdr:rowOff>0</xdr:rowOff>
        </xdr:from>
        <xdr:to>
          <xdr:col>4</xdr:col>
          <xdr:colOff>0</xdr:colOff>
          <xdr:row>47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Query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44</xdr:row>
          <xdr:rowOff>0</xdr:rowOff>
        </xdr:from>
        <xdr:to>
          <xdr:col>5</xdr:col>
          <xdr:colOff>0</xdr:colOff>
          <xdr:row>47</xdr:row>
          <xdr:rowOff>0</xdr:rowOff>
        </xdr:to>
        <xdr:sp macro="" textlink="">
          <xdr:nvSpPr>
            <xdr:cNvPr id="1039" name="AutomationButton"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Switch Automation</a:t>
              </a:r>
            </a:p>
            <a:p>
              <a:pPr algn="ctr" rtl="0">
                <a:defRPr sz="1000"/>
              </a:pPr>
              <a:r>
                <a:rPr lang="en-GB" sz="1200" b="0" i="0" u="none" strike="noStrike" baseline="0">
                  <a:solidFill>
                    <a:srgbClr val="000000"/>
                  </a:solidFill>
                  <a:latin typeface="Calibri"/>
                  <a:ea typeface="Calibri"/>
                  <a:cs typeface="Calibri"/>
                </a:rPr>
                <a:t>OFF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6625" name="Create_Button" hidden="1">
              <a:extLst>
                <a:ext uri="{63B3BB69-23CF-44E3-9099-C40C66FF867C}">
                  <a14:compatExt spid="_x0000_s26625"/>
                </a:ext>
                <a:ext uri="{FF2B5EF4-FFF2-40B4-BE49-F238E27FC236}">
                  <a16:creationId xmlns:a16="http://schemas.microsoft.com/office/drawing/2014/main" id="{00000000-0008-0000-0200-0000016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6626" name="Upd_Button"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7649" name="Create_Button"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7650" name="Upd_Button" hidden="1">
              <a:extLst>
                <a:ext uri="{63B3BB69-23CF-44E3-9099-C40C66FF867C}">
                  <a14:compatExt spid="_x0000_s27650"/>
                </a:ext>
                <a:ext uri="{FF2B5EF4-FFF2-40B4-BE49-F238E27FC236}">
                  <a16:creationId xmlns:a16="http://schemas.microsoft.com/office/drawing/2014/main" id="{00000000-0008-0000-0300-000002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28673" name="Create_Button"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28674" name="Upd_Button" hidden="1">
              <a:extLst>
                <a:ext uri="{63B3BB69-23CF-44E3-9099-C40C66FF867C}">
                  <a14:compatExt spid="_x0000_s28674"/>
                </a:ext>
                <a:ext uri="{FF2B5EF4-FFF2-40B4-BE49-F238E27FC236}">
                  <a16:creationId xmlns:a16="http://schemas.microsoft.com/office/drawing/2014/main" id="{00000000-0008-0000-0400-000002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3" name="Create_Button"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4" name="Upd_Button"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8193" name="Create_Button"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8194" name="Upd_Button"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3</xdr:row>
          <xdr:rowOff>0</xdr:rowOff>
        </xdr:to>
        <xdr:sp macro="" textlink="">
          <xdr:nvSpPr>
            <xdr:cNvPr id="8197" name="Out_Button" hidden="1">
              <a:extLst>
                <a:ext uri="{63B3BB69-23CF-44E3-9099-C40C66FF867C}">
                  <a14:compatExt spid="_x0000_s8197"/>
                </a:ext>
                <a:ext uri="{FF2B5EF4-FFF2-40B4-BE49-F238E27FC236}">
                  <a16:creationId xmlns:a16="http://schemas.microsoft.com/office/drawing/2014/main" id="{00000000-0008-0000-06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Output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7169" name="Create_Button"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170" name="Upd_Button"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4097" name="Create_Button"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4098" name="Upd_Button"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5121" name="Create_Button" hidden="1">
              <a:extLst>
                <a:ext uri="{63B3BB69-23CF-44E3-9099-C40C66FF867C}">
                  <a14:compatExt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5122" name="Upd_Button"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3553" name="Create_Button" hidden="1">
              <a:extLst>
                <a:ext uri="{63B3BB69-23CF-44E3-9099-C40C66FF867C}">
                  <a14:compatExt spid="_x0000_s23553"/>
                </a:ext>
                <a:ext uri="{FF2B5EF4-FFF2-40B4-BE49-F238E27FC236}">
                  <a16:creationId xmlns:a16="http://schemas.microsoft.com/office/drawing/2014/main" id="{00000000-0008-0000-0A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3554" name="Upd_Button" hidden="1">
              <a:extLst>
                <a:ext uri="{63B3BB69-23CF-44E3-9099-C40C66FF867C}">
                  <a14:compatExt spid="_x0000_s23554"/>
                </a:ext>
                <a:ext uri="{FF2B5EF4-FFF2-40B4-BE49-F238E27FC236}">
                  <a16:creationId xmlns:a16="http://schemas.microsoft.com/office/drawing/2014/main" id="{00000000-0008-0000-0A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589.687693749998" missingItemsLimit="0" createdVersion="8" refreshedVersion="8" minRefreshableVersion="3" recordCount="7" xr:uid="{1865034E-C817-48C3-A805-7388F978886B}">
  <cacheSource type="worksheet">
    <worksheetSource ref="A10:B17" sheet="PARA"/>
  </cacheSource>
  <cacheFields count="2">
    <cacheField name="PARA_Name" numFmtId="0">
      <sharedItems/>
    </cacheField>
    <cacheField name="PARA_Value" numFmtId="0">
      <sharedItems containsMixedTypes="1" containsNumber="1" minValue="0" maxValue="1.1574076779652387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PARA_Run_Duration"/>
    <n v="1.1574076779652387E-5"/>
  </r>
  <r>
    <s v="PARA_FilePath_Data_Netwk"/>
    <s v="C:\Users\Kien Leong\Kinetica Partners\Kinetica - Test Excel Sharing\Test_IPS\Data"/>
  </r>
  <r>
    <s v="PARA_FilePath_Archive"/>
    <s v="C:\P-S_Test\Archive"/>
  </r>
  <r>
    <s v="PARA_FilePath_Data_Local"/>
    <s v="C:\P-S_Test\Data"/>
  </r>
  <r>
    <s v="PARA_FilePath_Input_Local"/>
    <s v="C:\P-S_Test\Input"/>
  </r>
  <r>
    <s v="PARA_FilePath_Modules"/>
    <s v="C:\P-S_Test"/>
  </r>
  <r>
    <s v="PARA_Keep_Query_Dat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D195C4-C2C2-4A02-BA1F-7BB7AA3443A1}" name="Pivot_Template" cacheId="0"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9ECB3440-B592-4B2E-9FC5-37112C857040}" autoFormatId="16" applyNumberFormats="0" applyBorderFormats="0" applyFontFormats="0" applyPatternFormats="0" applyAlignmentFormats="0" applyWidthHeightFormats="0">
  <queryTableRefresh nextId="6">
    <queryTableFields count="5">
      <queryTableField id="1" name="id" tableColumnId="1"/>
      <queryTableField id="2" name="calendar_id" tableColumnId="2"/>
      <queryTableField id="3" name="weekday" tableColumnId="3"/>
      <queryTableField id="4" name="start_time" tableColumnId="4"/>
      <queryTableField id="5" name="end_tim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4D31807-F954-4441-9F4A-0B23B2C29C35}" autoFormatId="16" applyNumberFormats="0" applyBorderFormats="0" applyFontFormats="0" applyPatternFormats="0" applyAlignmentFormats="0" applyWidthHeightFormats="0">
  <queryTableRefresh nextId="7">
    <queryTableFields count="6">
      <queryTableField id="1" name="id" tableColumnId="1"/>
      <queryTableField id="2" name="calendar_id" tableColumnId="2"/>
      <queryTableField id="3" name="date" tableColumnId="3"/>
      <queryTableField id="4" name="start_time" tableColumnId="4"/>
      <queryTableField id="5" name="end_time" tableColumnId="5"/>
      <queryTableField id="6" name="is_working"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01E195-007A-4A0D-BBE8-0718893BCF7F}" name="calendar_rules" displayName="calendar_rules" ref="A10:E27" tableType="queryTable" totalsRowShown="0" headerRowDxfId="13" headerRowCellStyle="Normal 4" dataCellStyle="Normal 4">
  <autoFilter ref="A10:E27" xr:uid="{6E01E195-007A-4A0D-BBE8-0718893BCF7F}"/>
  <tableColumns count="5">
    <tableColumn id="1" xr3:uid="{6D8074F4-B518-4B99-B23C-92F5DC580E71}" uniqueName="1" name="id" queryTableFieldId="1" dataCellStyle="Normal 4"/>
    <tableColumn id="2" xr3:uid="{5148DDE8-6401-42B4-AC4C-1822D99E85BF}" uniqueName="2" name="calendar_id" queryTableFieldId="2" dataDxfId="12" dataCellStyle="Normal 4"/>
    <tableColumn id="3" xr3:uid="{C84A3981-DB96-4A9E-9C8B-32FA6FC34481}" uniqueName="3" name="weekday" queryTableFieldId="3" dataDxfId="11" dataCellStyle="Normal 4"/>
    <tableColumn id="4" xr3:uid="{1DB5FD50-A66B-45A3-89D2-2279E36068E4}" uniqueName="4" name="start_time" queryTableFieldId="4" dataDxfId="10" dataCellStyle="Normal 4"/>
    <tableColumn id="5" xr3:uid="{D68D4C0C-64DB-46D5-9967-6015DC4A6E37}" uniqueName="5" name="end_time" queryTableFieldId="5" dataDxfId="9" dataCellStyle="Normal 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4AC65F-C3AD-41F1-8BEF-E4D451F22A63}" name="calendar_exceptions" displayName="calendar_exceptions" ref="A10:F30" tableType="queryTable" totalsRowShown="0" headerRowDxfId="8" headerRowCellStyle="Normal 4" dataCellStyle="Normal 4">
  <autoFilter ref="A10:F30" xr:uid="{A54AC65F-C3AD-41F1-8BEF-E4D451F22A63}"/>
  <tableColumns count="6">
    <tableColumn id="1" xr3:uid="{A21D8F0A-4063-48D6-B834-273F47029E36}" uniqueName="1" name="id" queryTableFieldId="1" dataCellStyle="Normal 4"/>
    <tableColumn id="2" xr3:uid="{5602D2D8-A65C-43FF-A71C-77D85179417D}" uniqueName="2" name="calendar_id" queryTableFieldId="2" dataDxfId="7" dataCellStyle="Normal 4"/>
    <tableColumn id="3" xr3:uid="{6ECBAEB2-509F-49C3-9F4A-5EA6CD535436}" uniqueName="3" name="date" queryTableFieldId="3" dataDxfId="6" dataCellStyle="Normal 4"/>
    <tableColumn id="4" xr3:uid="{B1BDD5B3-A52E-42A9-8D6F-5E3B4120CAD9}" uniqueName="4" name="start_time" queryTableFieldId="4" dataDxfId="5" dataCellStyle="Normal 4"/>
    <tableColumn id="5" xr3:uid="{186A20B9-A225-41FC-9F0C-E35B5A7481ED}" uniqueName="5" name="end_time" queryTableFieldId="5" dataDxfId="4" dataCellStyle="Normal 4"/>
    <tableColumn id="6" xr3:uid="{06D32B1E-DA48-47E7-9F74-1648A6111B60}" uniqueName="6" name="is_working" queryTableFieldId="6" dataCellStyle="Normal 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34031B5A-0A42-4D8F-8A67-BD4E3E39515C}">
  <we:reference id="wa200008175" version="1.0.0.0" store="en-US" storeType="OMEX"/>
  <we:alternateReferences>
    <we:reference id="wa200008175" version="1.0.0.0" store="" storeType="OMEX"/>
  </we:alternateReferences>
  <we:properties>
    <we:property name="main.py" value="&quot;\&quot;\&quot;\&quot;\nxlwings lite working calendar module - Phase 1 Manual Implementation\n\nThis module is completely self-contained with no internal dependencies,\ndesigned for xlwings Excel integration. All core algorithmic functions\nare duplicated from src\/working_calendar.py to ensure consistency.\n\&quot;\&quot;\&quot;\n\nimport pandas as pd\nfrom datetime import datetime, timedelta, time, date\nfrom bisect import bisect_right\nfrom typing import List, Dict, Tuple, Optional\nimport xlwings as xw\nfrom xlwings import func, arg\nimport os\n\n# --- Excel Utility Functions ---\n\ndef excel_time_to_string(excel_time) -&gt; str:\n    \&quot;\&quot;\&quot;Convert Excel time serial number to HH:MM format.\&quot;\&quot;\&quot;\n    if isinstance(excel_time, (int, float)):\n        # Excel time is fraction of a day (0.375 = 9:00 AM)\n        # Add small epsilon to handle floating point precision issues\n        total_minutes = round(excel_time * 24 * 60)\n        hours = total_minutes \/\/ 60\n        minutes = total_minutes % 60\n        return f\&quot;{hours:02d}:{minutes:02d}\&quot;\n    else:\n        # Already a string, return as-is\n        return str(excel_time)\n\ndef excel_boolean_to_python(excel_bool) -&gt; bool:\n    \&quot;\&quot;\&quot;Convert Excel boolean value to Python boolean.\&quot;\&quot;\&quot;\n    if isinstance(excel_bool, bool):\n        return excel_bool\n    elif isinstance(excel_bool, (int, float)):\n        return bool(excel_bool)  # 1 → True, 0 → False\n    elif isinstance(excel_bool, str):\n        # Handle string boolean values from Excel\n        excel_bool_lower = excel_bool.lower().strip()\n        if excel_bool_lower in ('true', '1', 'yes', 'on'):\n            return True\n        elif excel_bool_lower in ('false', '0', 'no', 'off', ''):\n            return False\n        else:\n            # Default to False for unknown string values\n            return False\n    else:\n        # Default to False for unknown types\n        return False\n\ndef datetime_to_excel(dt: datetime) -&gt; float:\n    \&quot;\&quot;\&quot;Convert datetime to Excel serial number.\&quot;\&quot;\&quot;\n    # Excel epoch starts at 1900-01-01, but Excel treats 1900 as leap year\n    excel_epoch = datetime(1900, 1, 1)\n    delta = dt - excel_epoch\n    # Add 2 days to account for Excel's leap year bug and 1-based indexing\n    return delta.days + 2 + (delta.seconds \/ 86400.0)\n\ndef parse_time_string(time_string) -&gt; Optional[time]:\n    \&quot;\&quot;\&quot;Parse time string in HH:MM format to time object, handling Excel time serial numbers.\&quot;\&quot;\&quot;\n    if not pd.notnull(time_string) or time_string == '':\n        return None\n    \n    try:\n        # If it's a number (Excel time serial), convert to HH:MM first\n        if isinstance(time_string, (int, float)):\n            converted_time = excel_time_to_string(time_string)\n            return datetime.strptime(converted_time, \&quot;%H:%M\&quot;).time()\n        \n        # Parse as HH:MM format\n        time_string = str(time_string)\n        return datetime.strptime(time_string, \&quot;%H:%M\&quot;).time()\n    except ValueError as e:\n        raise ValueError(f\&quot;Invalid time format: {time_string}. Expected HH:MM format or Excel time serial number. Error: {e}\&quot;)\n\n# --- Core Calendar Functions ---\n\ndef load_calendar_rules(rules_dataframe: pd.DataFrame) -&gt; Dict[str, Dict[int, List[Tuple[time, time]]]]:\n    \&quot;\&quot;\&quot;Load calendar rules from dataframe into structured format.\&quot;\&quot;\&quot;\n    if rules_dataframe.empty:\n        return {}\n    \n    weekday_to_number = {\&quot;Mon\&quot;: 0, \&quot;Tue\&quot;: 1, \&quot;Wed\&quot;: 2, \&quot;Thu\&quot;: 3, \&quot;Fri\&quot;: 4, \&quot;Sat\&quot;: 5, \&quot;Sun\&quot;: 6}\n    calendar_rules = {}\n    \n    for _, row in rules_dataframe.iterrows():\n        calendar_id = str(row['calendar_id']).lower()\n        weekday_number = weekday_to_number[str(row['weekday'])]\n        \n        # Initialize calendar if not exists\n        calendar_rules.setdefault(calendar_id, {day: [] for day in range(7)})\n        \n        # Add working period if both times are valid\n        start_time_val = row['start_time']\n        end_time_val = row['end_time']\n        if pd.notnull(start_time_val) and pd.notnull(end_time_val):\n            start_time = parse_time_string(start_time_val)\n            end_time = parse_time_string(end_time_val)\n            if start_time and end_time:\n                calendar_rules[calendar_id][weekday_number].append((start_time, end_time))\n    \n    return calendar_rules\n\ndef load_calendar_exceptions(exceptions_dataframe: pd.DataFrame) -&gt; Dict[str, Dict[str, List[Tuple[time, time, bool]]]]:\n    \&quot;\&quot;\&quot;Load calendar exceptions from dataframe into structured format.\&quot;\&quot;\&quot;\n    if exceptions_dataframe.empty:\n        return {}\n    \n    calendar_exceptions = {}\n    \n    for _, row in exceptions_dataframe.iterrows():\n        calendar_id = str(row['calendar_id']).lower()\n        date_str = str(row['date'])\n        is_working = excel_boolean_to_python(row['is_working'])\n        \n        # Initialize calendar if not exists\n        calendar_exceptions.setdefault(calendar_id, {})\n        \n        if is_working:\n            # Working day exception - add specific working hours\n            start_time_val = row['start_time']\n            end_time_val = row['end_time']\n            if pd.notnull(start_time_val) and pd.notnull(end_time_val):\n                start_time = parse_time_string(start_time_val)\n                end_time = parse_time_string(end_time_val)\n                if start_time and end_time:\n                    calendar_exceptions[calendar_id].setdefault(date_str, []).append((start_time, end_time, True))\n        else:\n            # Non-working day exception\n            calendar_exceptions[calendar_id][date_str] = [(time(0, 0), time(0, 0), False)]\n    \n    return calendar_exceptions\n\ndef periods_overlap(period1_start: time, period1_end: time, period2_start: time, period2_end: time) -&gt; bool:\n    \&quot;\&quot;\&quot;Check if two time periods overlap.\&quot;\&quot;\&quot;\n    return not (period1_end &lt;= period2_start or period1_start &gt;= period2_end)\n\ndef split_working_period_by_exception(\n    working_period: Tuple[time, time],\n    exception_period: Tuple[time, time]\n) -&gt; List[Tuple[time, time]]:\n    \&quot;\&quot;\&quot;Split a working period by removing an exception period.\&quot;\&quot;\&quot;\n    work_start, work_end = working_period\n    exception_start, exception_end = exception_period\n    \n    if not periods_overlap(work_start, work_end, exception_start, exception_end):\n        # No overlap, return original period\n        return [(work_start, work_end)]\n    \n    # There's overlap, split the working period\n    result = []\n    \n    # Add the part before the exception period\n    if work_start &lt; exception_start:\n        result.append((work_start, exception_start))\n    \n    # Add the part after the exception period\n    if exception_end &lt; work_end:\n        result.append((exception_end, work_end))\n    \n    return result\n\ndef subtract_non_working_exceptions(\n    working_periods: List[Tuple[time, time]],\n    non_working_exceptions: List[Tuple[time, time]]\n) -&gt; List[Tuple[time, time]]:\n    \&quot;\&quot;\&quot;Remove non-working exception periods from working periods.\&quot;\&quot;\&quot;\n    result_periods = working_periods.copy()\n    \n    for exception_period in non_working_exceptions:\n        new_periods = []\n        for working_period in result_periods:\n            new_periods.extend(split_working_period_by_exception(working_period, exception_period))\n        result_periods = new_periods\n    \n    return result_periods\n\ndef add_non_overlapping_working_exceptions(\n    working_periods: List[Tuple[time, time]],\n    working_exceptions: List[Tuple[time, time]]\n) -&gt; List[Tuple[time, time]]:\n    \&quot;\&quot;\&quot;Add working exceptions that don't overlap with existing working periods.\&quot;\&quot;\&quot;\n    result_periods = working_periods.copy()\n    \n    for exception_start, exception_end in working_exceptions:\n        # Check if this working exception overlaps with any existing working period\n        has_overlap = any(\n            periods_overlap(exception_start, exception_end, existing_start, existing_end)\n            for existing_start, existing_end in result_periods\n        )\n        \n        if not has_overlap:\n            # No overlap, add this working exception\n            result_periods.append((exception_start, exception_end))\n    \n    return result_periods\n\ndef get_working_periods_for_day(\n    day: date,\n    calendar_id: str,\n    rules: Dict[str, Dict[int, List[Tuple[time, time]]]],\n    exceptions: Dict[str, Dict[str, List[Tuple[time, time, bool]]]]\n) -&gt; List[Tuple[time, time]]:\n    \&quot;\&quot;\&quot;Get working periods for a specific day, applying calendar rules and exceptions.\&quot;\&quot;\&quot;\n    date_string = day.strftime(\&quot;%Y-%m-%d\&quot;)\n    calendar_exceptions = exceptions.get(calendar_id, {})\n    \n    # Start with regular working periods for this day\n    base_working_periods = rules.get(calendar_id, {}).get(day.weekday(), [])\n    \n    if date_string not in calendar_exceptions:\n        # No exceptions, return regular periods\n        return base_working_periods\n    \n    # There are exceptions for this day\n    day_exceptions = calendar_exceptions[date_string]\n    \n    # Separate working and non-working exceptions\n    working_exceptions = [(start, end) for start, end, is_working in day_exceptions if is_working]\n    non_working_exceptions = [(start, end) for start, end, is_working in day_exceptions if not is_working]\n    \n    # Process exceptions\n    result_periods = subtract_non_working_exceptions(base_working_periods, non_working_exceptions)\n    result_periods = add_non_overlapping_working_exceptions(result_periods, working_exceptions)\n    \n    # Sort periods by start time\n    result_periods.sort(key=lambda x: x[0])\n    \n    return result_periods\n\ndef build_working_intervals(\n    rules: Dict[str, Dict[int, List[Tuple[time, time]]]],\n    exceptions: Dict[str, Dict[str, List[Tuple[time, time, bool]]]],\n    calendar_id: str,\n    start_date: date,\n    end_date: date\n) -&gt; List[Tuple[datetime, datetime, int]]:\n    \&quot;\&quot;\&quot;Build working intervals for a date range with performance optimizations.\&quot;\&quot;\&quot;\n    intervals = []\n    total_minutes = 0\n    \n    # Pre-fetch calendar data to avoid repeated lookups\n    calendar_rules = rules.get(calendar_id, {})\n    calendar_exceptions = exceptions.get(calendar_id, {})\n    \n    # Pre-calculate common time differences to avoid repeated calculations\n    time_to_minutes_cache = {}\n    \n    def get_time_difference_minutes(start_time: time, end_time: time) -&gt; int:\n        \&quot;\&quot;\&quot;Get cached time difference in minutes.\&quot;\&quot;\&quot;\n        key = (start_time, end_time)\n        if key not in time_to_minutes_cache:\n            # Calculate using direct time arithmetic instead of datetime\n            start_minutes = start_time.hour * 60 + start_time.minute\n            end_minutes = end_time.hour * 60 + end_time.minute\n            time_to_minutes_cache[key] = end_minutes - start_minutes\n        return time_to_minutes_cache[key]\n    \n    # Batch process all days\n    current_date = start_date\n    while current_date &lt;= end_date:\n        # Get base working periods for this weekday\n        base_periods = calendar_rules.get(current_date.weekday(), [])\n        \n        # Check for exceptions on this specific date (cache date string)\n        date_string = current_date.strftime(\&quot;%Y-%m-%d\&quot;)\n        if date_string in calendar_exceptions:\n            # Apply exceptions to get final periods\n            day_exceptions = calendar_exceptions[date_string]\n            working_exceptions = [(start, end) for start, end, is_working in day_exceptions if is_working]\n            non_working_exceptions = [(start, end) for start, end, is_working in day_exceptions if not is_working]\n            \n            # Process exceptions\n            periods = subtract_non_working_exceptions(base_periods, non_working_exceptions)\n            periods = add_non_overlapping_working_exceptions(periods, working_exceptions)\n            periods.sort(key=lambda x: x[0])\n        else:\n            # No exceptions, use base periods\n            periods = base_periods\n        \n        # Convert to datetime intervals and add to result\n        for start_time, end_time in periods:\n            start_dt = datetime.combine(current_date, start_time)\n            end_dt = datetime.combine(current_date, end_time)\n            intervals.append((start_dt, end_dt, total_minutes))\n            # Use cached time calculation instead of datetime arithmetic\n            total_minutes += get_time_difference_minutes(start_time, end_time)\n        \n        current_date += timedelta(days=1)\n    \n    return intervals\n\ndef add_working_minutes(\n    start_dt: datetime,\n    minutes_to_add: int,\n    working_intervals: List[Tuple[datetime, datetime, int]]\n) -&gt; Optional[datetime]:\n    \&quot;\&quot;\&quot;Add working minutes to a start datetime using precomputed working intervals.\&quot;\&quot;\&quot;\n    if not working_intervals:\n        return None\n    \n    # Find the interval containing or after start_dt\n    idx = -1\n    for i, (iv_start, iv_end, cumu) in enumerate(working_intervals):\n        if start_dt &lt;= iv_end:  # start_dt is within or before this interval\n            idx = i\n            break\n    \n    if idx == -1:\n        # start_dt is after all intervals\n        return None\n    \n    interval_start, interval_end, cumu_at_start = working_intervals[idx]\n    \n    # If start_dt is before the interval, move to the start of the interval\n    if start_dt &lt; interval_start:\n        offset = 0\n        effective_start = interval_start\n    else:\n        offset = int((start_dt - interval_start).total_seconds() \/\/ 60)\n        effective_start = start_dt\n    \n    # Check if we can finish within this interval\n    minutes_in_this_interval = int((interval_end - effective_start).total_seconds() \/\/ 60)\n    if minutes_to_add &lt;= minutes_in_this_interval:\n        return effective_start + timedelta(minutes=minutes_to_add)\n    \n    # We need to go to subsequent intervals\n    # Calculate the absolute target cumulative minutes from the very beginning\n    current_position = cumu_at_start + offset\n    target_cumu = current_position + minutes_to_add\n    \n    # Find the interval that contains the target cumulative minutes using direct binary search\n    left, right = 0, len(working_intervals) - 1\n    target_idx = -1\n    \n    while left &lt;= right:\n        mid = (left + right) \/\/ 2\n        iv_start, iv_end, cumu_at_iv_start = working_intervals[mid]\n        iv_duration = int((iv_end - iv_start).total_seconds() \/\/ 60)\n        cumu_at_iv_end = cumu_at_iv_start + iv_duration\n        \n        if target_cumu &lt;= cumu_at_iv_end:\n            target_idx = mid\n            right = mid - 1\n        else:\n            left = mid + 1\n    \n    if target_idx == -1:\n        # Target is beyond all intervals\n        return None\n    \n    # Found the target interval\n    iv_start, iv_end, cumu_at_iv_start = working_intervals[target_idx]\n    minute_offset = target_cumu - cumu_at_iv_start\n    return iv_start + timedelta(minutes=minute_offset)\n\n# --- Data Loading for xlwings lite (hardcoded paths) ---\n\ndef get_default_calendar_rules():\n    \&quot;\&quot;\&quot;Return default 9-5 Monday-Friday calendar rules.\&quot;\&quot;\&quot;\n    return [\n        ['id', 'calendar_id', 'weekday', 'start_time', 'end_time'],\n        [1, 'default', 'Mon', '09:00', '17:00'],\n        [2, 'default', 'Tue', '09:00', '17:00'],\n        [3, 'default', 'Wed', '09:00', '17:00'],\n        [4, 'default', 'Thu', '09:00', '17:00'],\n        [5, 'default', 'Fri', '09:00', '17:00']\n    ]\n\ndef get_default_calendar_exceptions():\n    \&quot;\&quot;\&quot;Return default empty calendar exceptions.\&quot;\&quot;\&quot;\n    return [['id', 'calendar_id', 'date', 'start_time', 'end_time', 'is_working']]\n\n# --- xlwings Functions ---\n\n@func\ndef calculate_working_completion_time(\n    start_datetime,\n    jobtime,\n    calendar_rules_data=None,\n    calendar_exceptions_data=None,\n    calendar_id=\&quot;default\&quot;\n):\n    \&quot;\&quot;\&quot;Calculate working time completion datetime for Excel.\&quot;\&quot;\&quot;\n    try:\n        # Convert Excel inputs to Python types\n        if isinstance(start_datetime, (int, float)):\n            # Excel datetime serial number\n            start_dt = datetime(1900, 1, 1) + timedelta(days=start_datetime - 2)\n        else:\n            start_dt = start_datetime\n        \n        # Convert jobtime to minutes if it's in hours\n        if isinstance(jobtime, (int, float)):\n            if jobtime &lt; 24:  # Assume hours if less than 24\n                minutes_to_add = int(jobtime * 60)\n            else:  # Assume minutes if 24 or more\n                minutes_to_add = int(jobtime)\n        else:\n            minutes_to_add = int(jobtime)\n        \n        # Use provided data or defaults\n        if calendar_rules_data is None:\n            rules_data = get_default_calendar_rules()\n            rules_df = pd.DataFrame(rules_data[1:], columns=rules_data[0])\n        else:\n            rules_df = pd.DataFrame(calendar_rules_data[1:], columns=calendar_rules_data[0])\n        \n        if calendar_exceptions_data is None:\n            exceptions_data = get_default_calendar_exceptions()\n            exceptions_df = pd.DataFrame(exceptions_data[1:], columns=exceptions_data[0])\n        else:\n            exceptions_df = pd.DataFrame(calendar_exceptions_data[1:], columns=calendar_exceptions_data[0])\n        \n        # Load calendar data\n        calendar_rules = load_calendar_rules(rules_df)\n        calendar_exceptions = load_calendar_exceptions(exceptions_df)\n        \n        # Build working intervals for sufficient period\n        start_date = start_dt.date()\n        end_date = start_date + timedelta(days=90)  # 90 days should be sufficient\n        \n        # Check if calendar_id exists in rules (case-insensitive)\n        calendar_id_lower = calendar_id.lower()\n        if calendar_id_lower not in calendar_rules:\n            # Try to use the first available calendar ID\n            if not calendar_rules:\n                return \&quot;Error: No calendar rules found in data\&quot;\n            calendar_id_lower = next(iter(calendar_rules.keys()))\n        \n        working_intervals = build_working_intervals(\n            calendar_rules, calendar_exceptions, calendar_id_lower, start_date, end_date\n        )\n        \n        # Calculate completion time\n        completion_dt = add_working_minutes(start_dt, minutes_to_add, working_intervals)\n        \n        if completion_dt is None:\n            return f\&quot;Error: Cannot complete {minutes_to_add} minutes of work within the calculated time range\&quot;\n        \n        # Convert back to Excel datetime serial number\n        return datetime_to_excel(completion_dt)\n        \n    except Exception as e:\n        return f\&quot;Error: {str(e)}\&quot;&quot;"/>
    <we:property name="pyodideVersion" value="&quot;0.27.5&quot;"/>
    <we:property name="addinVersion" value="&quot;1.0.0.0-17&quot;"/>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s>_xldudf_COUNT_BOM_LEVELS</we:customFunctionIds>
        <we:customFunctionIds>_xldudf_EXPLODE_BOM_EXCEL</we:customFunctionIds>
        <we:customFunctionIds>_xldudf_CALCULATE_WORKING_COMPLETION_TIME</we:customFunctionIds>
      </we:customFunctionIdList>
    </a:ext>
  </we:extLst>
</we:webextension>
</file>

<file path=xl/webextensions/webextension2.xml><?xml version="1.0" encoding="utf-8"?>
<we:webextension xmlns:we="http://schemas.microsoft.com/office/webextensions/webextension/2010/11" id="{485F54DC-AF3C-4A42-ACE8-485124CD944A}">
  <we:reference id="6db04484-84ab-40dc-969a-a4e1f00cc763" version="1.2.0.0" store="EXCatalog" storeType="EXCatalog"/>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ebextensions/webextension3.xml><?xml version="1.0" encoding="utf-8"?>
<we:webextension xmlns:we="http://schemas.microsoft.com/office/webextensions/webextension/2010/11" id="{2D80334B-DACA-44B4-B131-3206FC257AD0}">
  <we:reference id="8bc018e3-f345-40d4-8f1d-97951765d531" version="3.0.0.0" store="EXCatalog" storeType="EXCatalog"/>
  <we:alternateReferences>
    <we:reference id="WA104380862" version="3.0.0.0"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F6A136F1-C39B-44BD-AC41-4D75299109E0}">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8F947-18C1-4BB0-B5ED-21BCA5182653}">
  <sheetPr codeName="Sheet010">
    <tabColor rgb="FFE74C3C"/>
    <pageSetUpPr autoPageBreaks="0"/>
  </sheetPr>
  <dimension ref="A1:E52"/>
  <sheetViews>
    <sheetView zoomScaleNormal="100" workbookViewId="0">
      <selection activeCell="F4" sqref="F4"/>
    </sheetView>
  </sheetViews>
  <sheetFormatPr defaultColWidth="31.81640625" defaultRowHeight="14.5" x14ac:dyDescent="0.35"/>
  <cols>
    <col min="1" max="1" width="21.54296875" style="2" customWidth="1"/>
    <col min="2" max="2" width="26.81640625" style="2" customWidth="1"/>
    <col min="3" max="3" width="21.1796875" style="2" bestFit="1" customWidth="1"/>
    <col min="4" max="4" width="32.6328125" style="2" bestFit="1" customWidth="1"/>
    <col min="5" max="5" width="25.81640625" style="2" customWidth="1"/>
    <col min="6" max="16384" width="31.81640625" style="2"/>
  </cols>
  <sheetData>
    <row r="1" spans="1:5" x14ac:dyDescent="0.35">
      <c r="A1" s="1" t="s">
        <v>36</v>
      </c>
      <c r="B1" s="1"/>
    </row>
    <row r="2" spans="1:5" ht="45" customHeight="1" x14ac:dyDescent="0.35">
      <c r="A2" s="1"/>
      <c r="B2" s="1"/>
    </row>
    <row r="3" spans="1:5" ht="15.5" x14ac:dyDescent="0.35">
      <c r="A3" s="3"/>
      <c r="B3" s="1"/>
    </row>
    <row r="4" spans="1:5" ht="50.15" customHeight="1" x14ac:dyDescent="0.35">
      <c r="A4" s="1"/>
      <c r="B4" s="1"/>
    </row>
    <row r="5" spans="1:5" ht="12.5" customHeight="1" x14ac:dyDescent="0.35">
      <c r="A5" s="1"/>
      <c r="B5" s="1"/>
      <c r="C5" s="4"/>
    </row>
    <row r="6" spans="1:5" ht="50.15" customHeight="1" x14ac:dyDescent="0.35">
      <c r="A6" s="1"/>
      <c r="B6" s="1"/>
    </row>
    <row r="7" spans="1:5" x14ac:dyDescent="0.35">
      <c r="A7" s="56" t="s">
        <v>169</v>
      </c>
      <c r="B7" s="1"/>
      <c r="D7" s="24"/>
    </row>
    <row r="8" spans="1:5" ht="15.5" x14ac:dyDescent="0.35">
      <c r="A8" s="25"/>
    </row>
    <row r="9" spans="1:5" x14ac:dyDescent="0.35">
      <c r="B9" s="1"/>
      <c r="C9"/>
    </row>
    <row r="10" spans="1:5" s="5" customFormat="1" x14ac:dyDescent="0.35">
      <c r="A10" s="46" t="s">
        <v>1</v>
      </c>
      <c r="B10" s="47" t="s">
        <v>143</v>
      </c>
      <c r="C10"/>
      <c r="D10" s="2"/>
      <c r="E10" s="2"/>
    </row>
    <row r="11" spans="1:5" x14ac:dyDescent="0.35">
      <c r="A11" s="46" t="s">
        <v>2</v>
      </c>
      <c r="B11" s="51">
        <v>45413.504918981482</v>
      </c>
      <c r="C11"/>
    </row>
    <row r="12" spans="1:5" x14ac:dyDescent="0.35">
      <c r="A12" s="52" t="s">
        <v>3</v>
      </c>
      <c r="B12" s="51">
        <v>45413.504930555559</v>
      </c>
      <c r="C12"/>
      <c r="D12" s="26"/>
    </row>
    <row r="13" spans="1:5" x14ac:dyDescent="0.35">
      <c r="A13" s="52" t="s">
        <v>4</v>
      </c>
      <c r="B13" s="51">
        <v>1.1574076779652387E-5</v>
      </c>
      <c r="C13" t="s">
        <v>36</v>
      </c>
    </row>
    <row r="14" spans="1:5" x14ac:dyDescent="0.35">
      <c r="A14" s="50"/>
      <c r="B14" s="48"/>
      <c r="C14"/>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5</v>
      </c>
      <c r="D21" s="7">
        <v>45842.431967592594</v>
      </c>
      <c r="E21" s="18"/>
    </row>
    <row r="22" spans="1:5" s="38" customFormat="1" x14ac:dyDescent="0.35">
      <c r="A22" s="48"/>
      <c r="B22" s="48"/>
      <c r="C22" s="6" t="s">
        <v>6</v>
      </c>
      <c r="D22" s="9" t="s">
        <v>145</v>
      </c>
      <c r="E22" s="2"/>
    </row>
    <row r="23" spans="1:5" x14ac:dyDescent="0.35">
      <c r="A23" s="48"/>
      <c r="B23" s="48"/>
      <c r="C23" s="6" t="s">
        <v>28</v>
      </c>
      <c r="D23" s="7">
        <v>45511.330243055556</v>
      </c>
    </row>
    <row r="24" spans="1:5" x14ac:dyDescent="0.35">
      <c r="A24" s="48"/>
      <c r="C24" s="6" t="s">
        <v>7</v>
      </c>
      <c r="D24" s="7">
        <v>45848.704236111109</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HideNames">
                <anchor moveWithCells="1" sizeWithCells="1">
                  <from>
                    <xdr:col>0</xdr:col>
                    <xdr:colOff>0</xdr:colOff>
                    <xdr:row>44</xdr:row>
                    <xdr:rowOff>0</xdr:rowOff>
                  </from>
                  <to>
                    <xdr:col>1</xdr:col>
                    <xdr:colOff>0</xdr:colOff>
                    <xdr:row>45</xdr:row>
                    <xdr:rowOff>0</xdr:rowOff>
                  </to>
                </anchor>
              </controlPr>
            </control>
          </mc:Choice>
        </mc:AlternateContent>
        <mc:AlternateContent xmlns:mc="http://schemas.openxmlformats.org/markup-compatibility/2006">
          <mc:Choice Requires="x14">
            <control shapeId="1025" r:id="rId5" name="CopyFromNetworkButton">
              <controlPr defaultSize="0" print="0" autoFill="0" autoPict="0" macro="[0]!Auto_Copy_from_NW_and_Update">
                <anchor moveWithCells="1" sizeWithCells="1">
                  <from>
                    <xdr:col>0</xdr:col>
                    <xdr:colOff>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026" r:id="rId6" name="RunAllButton">
              <controlPr defaultSize="0" print="0" autoFill="0" autoPict="0" macro="[0]!Auto_Update_from_Local">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1027" r:id="rId7" name="Button 3">
              <controlPr defaultSize="0" print="0" autoFill="0" autoPict="0" macro="[0]!DeepClean">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1028" r:id="rId8" name="Button 4">
              <controlPr defaultSize="0" print="0" autoFill="0" autoPict="0" macro="[0]!Register_Change">
                <anchor moveWithCells="1" sizeWithCells="1">
                  <from>
                    <xdr:col>4</xdr:col>
                    <xdr:colOff>0</xdr:colOff>
                    <xdr:row>20</xdr:row>
                    <xdr:rowOff>0</xdr:rowOff>
                  </from>
                  <to>
                    <xdr:col>5</xdr:col>
                    <xdr:colOff>0</xdr:colOff>
                    <xdr:row>22</xdr:row>
                    <xdr:rowOff>0</xdr:rowOff>
                  </to>
                </anchor>
              </controlPr>
            </control>
          </mc:Choice>
        </mc:AlternateContent>
        <mc:AlternateContent xmlns:mc="http://schemas.openxmlformats.org/markup-compatibility/2006">
          <mc:Choice Requires="x14">
            <control shapeId="1029" r:id="rId9" name="Button 5">
              <controlPr defaultSize="0" print="0" autoFill="0" autoPict="0" macro="[0]!UnhideNames">
                <anchor moveWithCells="1" sizeWithCells="1">
                  <from>
                    <xdr:col>0</xdr:col>
                    <xdr:colOff>0</xdr:colOff>
                    <xdr:row>45</xdr:row>
                    <xdr:rowOff>0</xdr:rowOff>
                  </from>
                  <to>
                    <xdr:col>1</xdr:col>
                    <xdr:colOff>0</xdr:colOff>
                    <xdr:row>46</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DeepClean_CalcSheets">
                <anchor moveWithCells="1" sizeWithCells="1">
                  <from>
                    <xdr:col>1</xdr:col>
                    <xdr:colOff>0</xdr:colOff>
                    <xdr:row>44</xdr:row>
                    <xdr:rowOff>0</xdr:rowOff>
                  </from>
                  <to>
                    <xdr:col>2</xdr:col>
                    <xdr:colOff>0</xdr:colOff>
                    <xdr:row>45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Hide_Template_Sheets">
                <anchor moveWithCells="1" sizeWithCells="1">
                  <from>
                    <xdr:col>2</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1034" r:id="rId12" name="Button 10">
              <controlPr defaultSize="0" print="0" autoFill="0" autoPict="0" macro="[0]!CheckChangeQueryFilePaths">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040" r:id="rId13" name="Button 16">
              <controlPr defaultSize="0" print="0" autoFill="0" autoPict="0" macro="[0]!ExportImportModules">
                <anchor moveWithCells="1" sizeWithCells="1">
                  <from>
                    <xdr:col>1</xdr:col>
                    <xdr:colOff>0</xdr:colOff>
                    <xdr:row>45</xdr:row>
                    <xdr:rowOff>0</xdr:rowOff>
                  </from>
                  <to>
                    <xdr:col>2</xdr:col>
                    <xdr:colOff>0</xdr:colOff>
                    <xdr:row>46</xdr:row>
                    <xdr:rowOff>0</xdr:rowOff>
                  </to>
                </anchor>
              </controlPr>
            </control>
          </mc:Choice>
        </mc:AlternateContent>
        <mc:AlternateContent xmlns:mc="http://schemas.openxmlformats.org/markup-compatibility/2006">
          <mc:Choice Requires="x14">
            <control shapeId="1033" r:id="rId14" name="Button 9">
              <controlPr defaultSize="0" print="0" autoFill="0" autoPict="0" macro="[0]!Hide_Calc_Sheets">
                <anchor moveWithCells="1" sizeWithCells="1">
                  <from>
                    <xdr:col>2</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1035" r:id="rId15" name="Button 11">
              <controlPr defaultSize="0" print="0" autoFill="0" autoPict="0" macro="[0]!Hide_Query_Sheets">
                <anchor moveWithCells="1" sizeWithCells="1">
                  <from>
                    <xdr:col>2</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1039" r:id="rId16" name="AutomationButton">
              <controlPr defaultSize="0" print="0" autoFill="0" autoPict="0" macro="[0]!AutomationSwitch">
                <anchor moveWithCells="1" sizeWithCells="1">
                  <from>
                    <xdr:col>4</xdr:col>
                    <xdr:colOff>0</xdr:colOff>
                    <xdr:row>44</xdr:row>
                    <xdr:rowOff>0</xdr:rowOff>
                  </from>
                  <to>
                    <xdr:col>5</xdr:col>
                    <xdr:colOff>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79473-EAF3-4872-99BA-D2A07BF0A88E}">
  <sheetPr codeName="Sheet040">
    <tabColor theme="4" tint="-0.249977111117893"/>
  </sheetPr>
  <dimension ref="A1:X26"/>
  <sheetViews>
    <sheetView zoomScaleNormal="100" workbookViewId="0">
      <pane ySplit="10" topLeftCell="A11" activePane="bottomLeft" state="frozen"/>
      <selection pane="bottomLeft" activeCell="A18" sqref="A18:B18"/>
    </sheetView>
  </sheetViews>
  <sheetFormatPr defaultColWidth="12.6328125" defaultRowHeight="14.5" x14ac:dyDescent="0.35"/>
  <cols>
    <col min="1" max="1" width="26.54296875" style="8" bestFit="1" customWidth="1"/>
    <col min="2" max="2" width="18.54296875" style="8" customWidth="1"/>
    <col min="3" max="5" width="11" style="8" customWidth="1"/>
    <col min="6" max="16384" width="12.63281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8</v>
      </c>
      <c r="B10" s="39" t="s">
        <v>0</v>
      </c>
    </row>
    <row r="11" spans="1:24" x14ac:dyDescent="0.35">
      <c r="A11" s="8" t="s">
        <v>35</v>
      </c>
      <c r="B11" s="8">
        <f>Menu!B13</f>
        <v>1.1574076779652387E-5</v>
      </c>
    </row>
    <row r="12" spans="1:24" x14ac:dyDescent="0.35">
      <c r="A12" s="8" t="s">
        <v>9</v>
      </c>
      <c r="B12" s="8" t="s">
        <v>144</v>
      </c>
    </row>
    <row r="13" spans="1:24" x14ac:dyDescent="0.35">
      <c r="A13" s="8" t="s">
        <v>90</v>
      </c>
      <c r="B13" s="8" t="str">
        <f>IFERROR(LEFT(PARA_FilePath_Data_Local,FIND("@",SUBSTITUTE(LEFT(PARA_FilePath_Data_Local,LEN(PARA_FilePath_Data_Local)-1),"\","@",LEN(PARA_FilePath_Data_Local)-1-LEN(SUBSTITUTE(LEFT(PARA_FilePath_Data_Local,LEN(PARA_FilePath_Data_Local)-1),"\",""))),1)-1),PARA_FilePath_Data_Local)&amp;"\Archive"</f>
        <v>C:\P-S_Test\Archive</v>
      </c>
    </row>
    <row r="14" spans="1:24" x14ac:dyDescent="0.35">
      <c r="A14" s="8" t="s">
        <v>10</v>
      </c>
      <c r="B14" s="8" t="s">
        <v>143</v>
      </c>
    </row>
    <row r="15" spans="1:24" x14ac:dyDescent="0.35">
      <c r="A15" s="8" t="s">
        <v>37</v>
      </c>
      <c r="B15" s="8" t="str">
        <f>IFERROR(LEFT(PARA_FilePath_Data_Local,FIND("@",SUBSTITUTE(LEFT(PARA_FilePath_Data_Local,LEN(PARA_FilePath_Data_Local)-1),"\","@",LEN(PARA_FilePath_Data_Local)-1-LEN(SUBSTITUTE(LEFT(PARA_FilePath_Data_Local,LEN(PARA_FilePath_Data_Local)-1),"\",""))),1)-1),PARA_FilePath_Data_Local)&amp;"\Input"</f>
        <v>C:\P-S_Test\Input</v>
      </c>
    </row>
    <row r="16" spans="1:24" x14ac:dyDescent="0.35">
      <c r="A16" s="8" t="s">
        <v>38</v>
      </c>
      <c r="B16" s="8" t="str">
        <f>IFERROR(LEFT(PARA_FilePath_Data_Local,FIND("@",SUBSTITUTE(LEFT(PARA_FilePath_Data_Local,LEN(PARA_FilePath_Data_Local)-1),"\","@",LEN(PARA_FilePath_Data_Local)-1-LEN(SUBSTITUTE(LEFT(PARA_FilePath_Data_Local,LEN(PARA_FilePath_Data_Local)-1),"\",""))),1)-1),ThisFilePath())</f>
        <v>C:\P-S_Test</v>
      </c>
    </row>
    <row r="17" spans="1:2" x14ac:dyDescent="0.35">
      <c r="A17" s="8" t="s">
        <v>139</v>
      </c>
      <c r="B17" s="8">
        <v>0</v>
      </c>
    </row>
    <row r="18" spans="1:2" x14ac:dyDescent="0.35">
      <c r="A18" s="8" t="s">
        <v>146</v>
      </c>
      <c r="B18" s="8" t="s">
        <v>147</v>
      </c>
    </row>
    <row r="26" spans="1:2" s="18" customFormat="1" x14ac:dyDescent="0.35"/>
  </sheetData>
  <dataConsolidate/>
  <pageMargins left="0.7" right="0.7" top="0.75" bottom="0.75" header="0.3" footer="0.3"/>
  <pageSetup scale="130"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E60E1-663D-4BE9-9A18-E722D59EFC9C}">
  <sheetPr codeName="Sheet051">
    <tabColor rgb="FF2ECC71"/>
  </sheetPr>
  <dimension ref="A1:P27"/>
  <sheetViews>
    <sheetView zoomScaleNormal="100" workbookViewId="0">
      <pane ySplit="10" topLeftCell="A11" activePane="bottomLeft" state="frozen"/>
      <selection activeCell="A10" sqref="A10"/>
      <selection pane="bottomLeft" activeCell="H36" sqref="H36"/>
    </sheetView>
  </sheetViews>
  <sheetFormatPr defaultColWidth="12.6328125" defaultRowHeight="14.5" x14ac:dyDescent="0.35"/>
  <cols>
    <col min="1" max="1" width="4.6328125" style="8" bestFit="1" customWidth="1"/>
    <col min="2" max="2" width="12.81640625" style="8" bestFit="1" customWidth="1"/>
    <col min="3" max="3" width="10.54296875" style="8" bestFit="1" customWidth="1"/>
    <col min="4" max="4" width="11.90625" style="8" bestFit="1" customWidth="1"/>
    <col min="5" max="5" width="11.08984375" style="8" bestFit="1" customWidth="1"/>
    <col min="6"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148</v>
      </c>
      <c r="B10" s="14" t="s">
        <v>149</v>
      </c>
      <c r="C10" s="14" t="s">
        <v>150</v>
      </c>
      <c r="D10" s="14" t="s">
        <v>151</v>
      </c>
      <c r="E10" s="14" t="s">
        <v>152</v>
      </c>
    </row>
    <row r="11" spans="1:16" x14ac:dyDescent="0.35">
      <c r="A11">
        <v>1</v>
      </c>
      <c r="B11" s="8" t="s">
        <v>153</v>
      </c>
      <c r="C11" s="8" t="s">
        <v>154</v>
      </c>
      <c r="D11" s="53">
        <v>0.375</v>
      </c>
      <c r="E11" s="53">
        <v>0.70833333333333337</v>
      </c>
    </row>
    <row r="12" spans="1:16" x14ac:dyDescent="0.35">
      <c r="A12">
        <v>2</v>
      </c>
      <c r="B12" s="8" t="s">
        <v>153</v>
      </c>
      <c r="C12" s="8" t="s">
        <v>155</v>
      </c>
      <c r="D12" s="53">
        <v>0.375</v>
      </c>
      <c r="E12" s="53">
        <v>0.70833333333333337</v>
      </c>
    </row>
    <row r="13" spans="1:16" x14ac:dyDescent="0.35">
      <c r="A13">
        <v>3</v>
      </c>
      <c r="B13" s="8" t="s">
        <v>153</v>
      </c>
      <c r="C13" s="8" t="s">
        <v>156</v>
      </c>
      <c r="D13" s="53">
        <v>0.375</v>
      </c>
      <c r="E13" s="53">
        <v>0.70833333333333337</v>
      </c>
    </row>
    <row r="14" spans="1:16" x14ac:dyDescent="0.35">
      <c r="A14">
        <v>4</v>
      </c>
      <c r="B14" s="8" t="s">
        <v>153</v>
      </c>
      <c r="C14" s="8" t="s">
        <v>157</v>
      </c>
      <c r="D14" s="53">
        <v>0.375</v>
      </c>
      <c r="E14" s="53">
        <v>0.70833333333333337</v>
      </c>
    </row>
    <row r="15" spans="1:16" x14ac:dyDescent="0.35">
      <c r="A15">
        <v>5</v>
      </c>
      <c r="B15" s="8" t="s">
        <v>153</v>
      </c>
      <c r="C15" s="8" t="s">
        <v>158</v>
      </c>
      <c r="D15" s="53">
        <v>0.375</v>
      </c>
      <c r="E15" s="53">
        <v>0.70833333333333337</v>
      </c>
    </row>
    <row r="16" spans="1:16" x14ac:dyDescent="0.35">
      <c r="A16">
        <v>6</v>
      </c>
      <c r="B16" s="8" t="s">
        <v>159</v>
      </c>
      <c r="C16" s="8" t="s">
        <v>154</v>
      </c>
      <c r="D16" s="53">
        <v>0.375</v>
      </c>
      <c r="E16" s="53">
        <v>0.70833333333333337</v>
      </c>
    </row>
    <row r="17" spans="1:5" x14ac:dyDescent="0.35">
      <c r="A17">
        <v>7</v>
      </c>
      <c r="B17" s="8" t="s">
        <v>159</v>
      </c>
      <c r="C17" s="8" t="s">
        <v>155</v>
      </c>
      <c r="D17" s="53">
        <v>0.375</v>
      </c>
      <c r="E17" s="53">
        <v>0.70833333333333337</v>
      </c>
    </row>
    <row r="18" spans="1:5" x14ac:dyDescent="0.35">
      <c r="A18">
        <v>8</v>
      </c>
      <c r="B18" s="8" t="s">
        <v>159</v>
      </c>
      <c r="C18" s="8" t="s">
        <v>156</v>
      </c>
      <c r="D18" s="53">
        <v>0.375</v>
      </c>
      <c r="E18" s="53">
        <v>0.70833333333333337</v>
      </c>
    </row>
    <row r="19" spans="1:5" x14ac:dyDescent="0.35">
      <c r="A19">
        <v>9</v>
      </c>
      <c r="B19" s="8" t="s">
        <v>159</v>
      </c>
      <c r="C19" s="8" t="s">
        <v>157</v>
      </c>
      <c r="D19" s="53">
        <v>0.375</v>
      </c>
      <c r="E19" s="53">
        <v>0.70833333333333337</v>
      </c>
    </row>
    <row r="20" spans="1:5" x14ac:dyDescent="0.35">
      <c r="A20">
        <v>10</v>
      </c>
      <c r="B20" s="8" t="s">
        <v>159</v>
      </c>
      <c r="C20" s="8" t="s">
        <v>158</v>
      </c>
      <c r="D20" s="53">
        <v>0.375</v>
      </c>
      <c r="E20" s="53">
        <v>0.70833333333333337</v>
      </c>
    </row>
    <row r="21" spans="1:5" x14ac:dyDescent="0.35">
      <c r="A21">
        <v>11</v>
      </c>
      <c r="B21" s="8" t="s">
        <v>160</v>
      </c>
      <c r="C21" s="8" t="s">
        <v>154</v>
      </c>
      <c r="D21" s="53">
        <v>0.375</v>
      </c>
      <c r="E21" s="53">
        <v>0.875</v>
      </c>
    </row>
    <row r="22" spans="1:5" x14ac:dyDescent="0.35">
      <c r="A22">
        <v>12</v>
      </c>
      <c r="B22" s="8" t="s">
        <v>160</v>
      </c>
      <c r="C22" s="8" t="s">
        <v>155</v>
      </c>
      <c r="D22" s="53">
        <v>0.375</v>
      </c>
      <c r="E22" s="53">
        <v>0.875</v>
      </c>
    </row>
    <row r="23" spans="1:5" x14ac:dyDescent="0.35">
      <c r="A23">
        <v>13</v>
      </c>
      <c r="B23" s="8" t="s">
        <v>160</v>
      </c>
      <c r="C23" s="8" t="s">
        <v>156</v>
      </c>
      <c r="D23" s="53">
        <v>0.375</v>
      </c>
      <c r="E23" s="53">
        <v>0.875</v>
      </c>
    </row>
    <row r="24" spans="1:5" x14ac:dyDescent="0.35">
      <c r="A24">
        <v>14</v>
      </c>
      <c r="B24" s="8" t="s">
        <v>160</v>
      </c>
      <c r="C24" s="8" t="s">
        <v>157</v>
      </c>
      <c r="D24" s="53">
        <v>0.375</v>
      </c>
      <c r="E24" s="53">
        <v>0.875</v>
      </c>
    </row>
    <row r="25" spans="1:5" x14ac:dyDescent="0.35">
      <c r="A25">
        <v>15</v>
      </c>
      <c r="B25" s="8" t="s">
        <v>160</v>
      </c>
      <c r="C25" s="8" t="s">
        <v>158</v>
      </c>
      <c r="D25" s="53">
        <v>0.375</v>
      </c>
      <c r="E25" s="53">
        <v>0.875</v>
      </c>
    </row>
    <row r="26" spans="1:5" x14ac:dyDescent="0.35">
      <c r="A26">
        <v>16</v>
      </c>
      <c r="B26" s="8" t="s">
        <v>160</v>
      </c>
      <c r="C26" s="8" t="s">
        <v>161</v>
      </c>
      <c r="D26" s="53">
        <v>0.375</v>
      </c>
      <c r="E26" s="53">
        <v>0.875</v>
      </c>
    </row>
    <row r="27" spans="1:5" x14ac:dyDescent="0.35">
      <c r="A27">
        <v>17</v>
      </c>
      <c r="B27" s="8" t="s">
        <v>160</v>
      </c>
      <c r="C27" s="8" t="s">
        <v>162</v>
      </c>
      <c r="D27" s="53">
        <v>0.375</v>
      </c>
      <c r="E27" s="53">
        <v>0.875</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6626" r:id="rId5" name="Upd_Button">
              <controlPr defaultSize="0" print="0" autoFill="0" autoPict="0" macro="[0]!Upd_calendar_rules">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53D57-11C0-4024-9534-B6BE76093B50}">
  <sheetPr codeName="Sheet052">
    <tabColor rgb="FF2ECC71"/>
  </sheetPr>
  <dimension ref="A1:P30"/>
  <sheetViews>
    <sheetView zoomScaleNormal="100" workbookViewId="0">
      <pane ySplit="10" topLeftCell="A11" activePane="bottomLeft" state="frozen"/>
      <selection activeCell="A10" sqref="A10"/>
      <selection pane="bottomLeft" activeCell="H10" sqref="H10:I10"/>
    </sheetView>
  </sheetViews>
  <sheetFormatPr defaultColWidth="12.6328125" defaultRowHeight="14.5" x14ac:dyDescent="0.35"/>
  <cols>
    <col min="1" max="1" width="4.6328125" style="8" bestFit="1" customWidth="1"/>
    <col min="2" max="2" width="12.81640625" style="8" bestFit="1" customWidth="1"/>
    <col min="3" max="3" width="10.08984375" style="8" bestFit="1" customWidth="1"/>
    <col min="4" max="4" width="11.90625" style="8" bestFit="1" customWidth="1"/>
    <col min="5" max="5" width="11.08984375" style="8" bestFit="1" customWidth="1"/>
    <col min="6" max="6" width="12.08984375" style="8" bestFit="1" customWidth="1"/>
    <col min="7"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148</v>
      </c>
      <c r="B10" s="14" t="s">
        <v>149</v>
      </c>
      <c r="C10" s="14" t="s">
        <v>163</v>
      </c>
      <c r="D10" s="14" t="s">
        <v>151</v>
      </c>
      <c r="E10" s="14" t="s">
        <v>152</v>
      </c>
      <c r="F10" s="14" t="s">
        <v>164</v>
      </c>
      <c r="H10" s="13" t="s">
        <v>166</v>
      </c>
      <c r="I10" s="13" t="s">
        <v>165</v>
      </c>
    </row>
    <row r="11" spans="1:16" x14ac:dyDescent="0.35">
      <c r="A11">
        <v>1</v>
      </c>
      <c r="B11" s="8" t="s">
        <v>160</v>
      </c>
      <c r="C11" s="54">
        <v>45658</v>
      </c>
      <c r="D11" s="53">
        <v>0.375</v>
      </c>
      <c r="E11" s="53">
        <v>0.38194444444444442</v>
      </c>
      <c r="F11" t="b">
        <v>0</v>
      </c>
    </row>
    <row r="12" spans="1:16" x14ac:dyDescent="0.35">
      <c r="A12">
        <v>2</v>
      </c>
      <c r="B12" s="8" t="s">
        <v>160</v>
      </c>
      <c r="C12" s="54">
        <v>45659</v>
      </c>
      <c r="D12" s="53">
        <v>0.5</v>
      </c>
      <c r="E12" s="53">
        <v>0.50694444444444442</v>
      </c>
      <c r="F12" t="b">
        <v>0</v>
      </c>
    </row>
    <row r="13" spans="1:16" x14ac:dyDescent="0.35">
      <c r="A13">
        <v>3</v>
      </c>
      <c r="B13" s="8" t="s">
        <v>160</v>
      </c>
      <c r="C13" s="54">
        <v>45660</v>
      </c>
      <c r="D13" s="53">
        <v>0.5</v>
      </c>
      <c r="E13" s="53">
        <v>0.50694444444444442</v>
      </c>
      <c r="F13" t="b">
        <v>0</v>
      </c>
    </row>
    <row r="14" spans="1:16" x14ac:dyDescent="0.35">
      <c r="A14">
        <v>4</v>
      </c>
      <c r="B14" s="8" t="s">
        <v>160</v>
      </c>
      <c r="C14" s="54">
        <v>45661</v>
      </c>
      <c r="D14" s="53">
        <v>0.5</v>
      </c>
      <c r="E14" s="53">
        <v>0.50694444444444442</v>
      </c>
      <c r="F14" t="b">
        <v>0</v>
      </c>
    </row>
    <row r="15" spans="1:16" x14ac:dyDescent="0.35">
      <c r="A15">
        <v>5</v>
      </c>
      <c r="B15" s="8" t="s">
        <v>160</v>
      </c>
      <c r="C15" s="54">
        <v>45662</v>
      </c>
      <c r="D15" s="53">
        <v>0.5</v>
      </c>
      <c r="E15" s="53">
        <v>0.50694444444444442</v>
      </c>
      <c r="F15" t="b">
        <v>0</v>
      </c>
    </row>
    <row r="16" spans="1:16" x14ac:dyDescent="0.35">
      <c r="A16">
        <v>6</v>
      </c>
      <c r="B16" s="8" t="s">
        <v>160</v>
      </c>
      <c r="C16" s="54">
        <v>45663</v>
      </c>
      <c r="D16" s="53">
        <v>0.5</v>
      </c>
      <c r="E16" s="53">
        <v>0.50694444444444442</v>
      </c>
      <c r="F16" t="b">
        <v>1</v>
      </c>
    </row>
    <row r="17" spans="1:6" x14ac:dyDescent="0.35">
      <c r="A17">
        <v>7</v>
      </c>
      <c r="B17" s="8" t="s">
        <v>160</v>
      </c>
      <c r="C17" s="54">
        <v>45664</v>
      </c>
      <c r="D17" s="53">
        <v>0.5</v>
      </c>
      <c r="E17" s="53">
        <v>0.50694444444444442</v>
      </c>
      <c r="F17" t="b">
        <v>0</v>
      </c>
    </row>
    <row r="18" spans="1:6" x14ac:dyDescent="0.35">
      <c r="A18">
        <v>8</v>
      </c>
      <c r="B18" s="8" t="s">
        <v>160</v>
      </c>
      <c r="C18" s="54">
        <v>45665</v>
      </c>
      <c r="D18" s="53">
        <v>0.5</v>
      </c>
      <c r="E18" s="53">
        <v>0.50694444444444442</v>
      </c>
      <c r="F18" t="b">
        <v>0</v>
      </c>
    </row>
    <row r="19" spans="1:6" x14ac:dyDescent="0.35">
      <c r="A19">
        <v>9</v>
      </c>
      <c r="B19" s="8" t="s">
        <v>160</v>
      </c>
      <c r="C19" s="54">
        <v>45666</v>
      </c>
      <c r="D19" s="53">
        <v>0.5</v>
      </c>
      <c r="E19" s="53">
        <v>0.51388888888888884</v>
      </c>
      <c r="F19" t="b">
        <v>1</v>
      </c>
    </row>
    <row r="20" spans="1:6" x14ac:dyDescent="0.35">
      <c r="A20">
        <v>10</v>
      </c>
      <c r="B20" s="8" t="s">
        <v>160</v>
      </c>
      <c r="C20" s="54">
        <v>45667</v>
      </c>
      <c r="D20" s="53">
        <v>0.5</v>
      </c>
      <c r="E20" s="53">
        <v>0.50694444444444442</v>
      </c>
      <c r="F20" t="b">
        <v>0</v>
      </c>
    </row>
    <row r="21" spans="1:6" x14ac:dyDescent="0.35">
      <c r="A21">
        <v>11</v>
      </c>
      <c r="B21" s="8" t="s">
        <v>160</v>
      </c>
      <c r="C21" s="54">
        <v>45668</v>
      </c>
      <c r="D21" s="53">
        <v>0.5</v>
      </c>
      <c r="E21" s="53">
        <v>0.51388888888888884</v>
      </c>
      <c r="F21" t="b">
        <v>1</v>
      </c>
    </row>
    <row r="22" spans="1:6" x14ac:dyDescent="0.35">
      <c r="A22">
        <v>12</v>
      </c>
      <c r="B22" s="8" t="s">
        <v>160</v>
      </c>
      <c r="C22" s="54">
        <v>45669</v>
      </c>
      <c r="D22" s="53">
        <v>0.5</v>
      </c>
      <c r="E22" s="53">
        <v>0.50694444444444442</v>
      </c>
      <c r="F22" t="b">
        <v>0</v>
      </c>
    </row>
    <row r="23" spans="1:6" x14ac:dyDescent="0.35">
      <c r="A23">
        <v>13</v>
      </c>
      <c r="B23" s="8" t="s">
        <v>160</v>
      </c>
      <c r="C23" s="54">
        <v>45670</v>
      </c>
      <c r="D23" s="53">
        <v>0.5</v>
      </c>
      <c r="E23" s="53">
        <v>0.51388888888888884</v>
      </c>
      <c r="F23" t="b">
        <v>1</v>
      </c>
    </row>
    <row r="24" spans="1:6" x14ac:dyDescent="0.35">
      <c r="A24">
        <v>14</v>
      </c>
      <c r="B24" s="8" t="s">
        <v>160</v>
      </c>
      <c r="C24" s="54">
        <v>45671</v>
      </c>
      <c r="D24" s="53">
        <v>0.5</v>
      </c>
      <c r="E24" s="53">
        <v>0.50694444444444442</v>
      </c>
      <c r="F24" t="b">
        <v>0</v>
      </c>
    </row>
    <row r="25" spans="1:6" x14ac:dyDescent="0.35">
      <c r="A25">
        <v>15</v>
      </c>
      <c r="B25" s="8" t="s">
        <v>160</v>
      </c>
      <c r="C25" s="54">
        <v>45672</v>
      </c>
      <c r="D25" s="53">
        <v>0.5</v>
      </c>
      <c r="E25" s="53">
        <v>0.51388888888888884</v>
      </c>
      <c r="F25" t="b">
        <v>1</v>
      </c>
    </row>
    <row r="26" spans="1:6" x14ac:dyDescent="0.35">
      <c r="A26">
        <v>16</v>
      </c>
      <c r="B26" s="8" t="s">
        <v>160</v>
      </c>
      <c r="C26" s="54">
        <v>45673</v>
      </c>
      <c r="D26" s="53">
        <v>0.5</v>
      </c>
      <c r="E26" s="53">
        <v>0.50694444444444442</v>
      </c>
      <c r="F26" t="b">
        <v>0</v>
      </c>
    </row>
    <row r="27" spans="1:6" x14ac:dyDescent="0.35">
      <c r="A27">
        <v>17</v>
      </c>
      <c r="B27" s="8" t="s">
        <v>160</v>
      </c>
      <c r="C27" s="54">
        <v>45674</v>
      </c>
      <c r="D27" s="53">
        <v>0.5</v>
      </c>
      <c r="E27" s="53">
        <v>0.51388888888888884</v>
      </c>
      <c r="F27" t="b">
        <v>1</v>
      </c>
    </row>
    <row r="28" spans="1:6" x14ac:dyDescent="0.35">
      <c r="A28">
        <v>18</v>
      </c>
      <c r="B28" s="8" t="s">
        <v>160</v>
      </c>
      <c r="C28" s="54">
        <v>45675</v>
      </c>
      <c r="D28" s="53">
        <v>0.5</v>
      </c>
      <c r="E28" s="53">
        <v>0.50694444444444442</v>
      </c>
      <c r="F28" t="b">
        <v>0</v>
      </c>
    </row>
    <row r="29" spans="1:6" x14ac:dyDescent="0.35">
      <c r="A29">
        <v>19</v>
      </c>
      <c r="B29" s="8" t="s">
        <v>160</v>
      </c>
      <c r="C29" s="54">
        <v>45676</v>
      </c>
      <c r="D29" s="53">
        <v>0.5</v>
      </c>
      <c r="E29" s="53">
        <v>0.51388888888888884</v>
      </c>
      <c r="F29" t="b">
        <v>1</v>
      </c>
    </row>
    <row r="30" spans="1:6" x14ac:dyDescent="0.35">
      <c r="A30">
        <v>20</v>
      </c>
      <c r="B30" s="8" t="s">
        <v>160</v>
      </c>
      <c r="C30" s="54">
        <v>45677</v>
      </c>
      <c r="D30" s="53">
        <v>0.5</v>
      </c>
      <c r="E30" s="53">
        <v>0.50694444444444442</v>
      </c>
      <c r="F30" t="b">
        <v>0</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7650" r:id="rId5" name="Upd_Button">
              <controlPr defaultSize="0" print="0" autoFill="0" autoPict="0" macro="[0]!Upd_calendar_exceptions">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D676F-CB67-4088-8763-E3F12A3A8B64}">
  <sheetPr codeName="Sheet061"/>
  <dimension ref="A1:Z20"/>
  <sheetViews>
    <sheetView tabSelected="1" zoomScaleNormal="100" workbookViewId="0">
      <pane ySplit="10" topLeftCell="A11" activePane="bottomLeft" state="frozen"/>
      <selection activeCell="A10" sqref="A10"/>
      <selection pane="bottomLeft" activeCell="D11" sqref="D11:D20"/>
    </sheetView>
  </sheetViews>
  <sheetFormatPr defaultColWidth="12.6328125" defaultRowHeight="15" customHeight="1" x14ac:dyDescent="0.35"/>
  <cols>
    <col min="1" max="1" width="18.81640625" style="8" customWidth="1"/>
    <col min="2" max="2" width="11.08984375" style="8" customWidth="1"/>
    <col min="3" max="3" width="10.6328125" style="8" customWidth="1"/>
    <col min="4" max="4" width="25.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SUBSTITUTE(ADDRESS(1,COLUMN(),4),"1","")</f>
        <v>M</v>
      </c>
      <c r="N1" s="11" t="str">
        <f>SUBSTITUTE(ADDRESS(1,COLUMN(),4),"1","")</f>
        <v>N</v>
      </c>
      <c r="O1" s="11" t="str">
        <f>SUBSTITUTE(ADDRESS(1,COLUMN(),4),"1","")</f>
        <v>O</v>
      </c>
      <c r="P1" s="11" t="str">
        <f t="shared" ref="P1:R1" si="1">SUBSTITUTE(ADDRESS(1,COLUMN(),4),"1","")</f>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10</v>
      </c>
    </row>
    <row r="7" spans="1:26" ht="14.5" x14ac:dyDescent="0.35"/>
    <row r="8" spans="1:26" ht="15" customHeight="1" x14ac:dyDescent="0.35">
      <c r="A8" s="34">
        <f ca="1">TODAY()+0.5</f>
        <v>45849.5</v>
      </c>
      <c r="B8" s="8">
        <f>ROW()</f>
        <v>8</v>
      </c>
      <c r="C8" s="8" t="s">
        <v>153</v>
      </c>
      <c r="D8" s="34" cm="1">
        <f t="array" aca="1" ref="D8" ca="1">_xldudf_CALCULATE_WORKING_COMPLETION_TIME(A8,B8*60,calendar_rules[#All],calendar_exceptions[#All],C8)</f>
        <v>45852.5</v>
      </c>
    </row>
    <row r="9" spans="1:26" ht="3" customHeight="1" x14ac:dyDescent="0.35"/>
    <row r="10" spans="1:26" s="13" customFormat="1" ht="15" customHeight="1" x14ac:dyDescent="0.35">
      <c r="A10" s="55" t="s">
        <v>167</v>
      </c>
      <c r="B10" s="17" t="s">
        <v>165</v>
      </c>
      <c r="C10" s="13" t="s">
        <v>170</v>
      </c>
      <c r="D10" s="17" t="s">
        <v>168</v>
      </c>
      <c r="E10" s="17"/>
      <c r="F10" s="17"/>
      <c r="G10" s="17"/>
      <c r="H10" s="17"/>
      <c r="I10" s="17"/>
      <c r="J10" s="17"/>
      <c r="K10" s="17"/>
      <c r="L10" s="17"/>
      <c r="M10" s="17"/>
      <c r="N10" s="17"/>
      <c r="O10" s="17"/>
      <c r="P10" s="17"/>
      <c r="Q10" s="17"/>
      <c r="R10" s="17"/>
      <c r="S10" s="37"/>
      <c r="T10" s="37"/>
      <c r="U10" s="37"/>
      <c r="V10" s="37"/>
      <c r="W10" s="37"/>
      <c r="X10" s="37"/>
      <c r="Y10" s="37"/>
      <c r="Z10" s="37"/>
    </row>
    <row r="11" spans="1:26" ht="15" customHeight="1" x14ac:dyDescent="0.35">
      <c r="A11" s="34">
        <v>45849.5</v>
      </c>
      <c r="B11" s="8">
        <v>11</v>
      </c>
      <c r="C11" s="8" t="s">
        <v>153</v>
      </c>
      <c r="D11" s="34">
        <v>45852.625</v>
      </c>
    </row>
    <row r="12" spans="1:26" ht="15" customHeight="1" x14ac:dyDescent="0.35">
      <c r="A12" s="34">
        <v>45849.5</v>
      </c>
      <c r="B12" s="8">
        <v>12</v>
      </c>
      <c r="C12" s="8" t="s">
        <v>153</v>
      </c>
      <c r="D12" s="34">
        <v>45852.666666666664</v>
      </c>
    </row>
    <row r="13" spans="1:26" ht="15" customHeight="1" x14ac:dyDescent="0.35">
      <c r="A13" s="34">
        <v>45849.5</v>
      </c>
      <c r="B13" s="8">
        <v>13</v>
      </c>
      <c r="C13" s="8" t="s">
        <v>153</v>
      </c>
      <c r="D13" s="34">
        <v>45852.708333333336</v>
      </c>
    </row>
    <row r="14" spans="1:26" ht="15" customHeight="1" x14ac:dyDescent="0.35">
      <c r="A14" s="34">
        <v>45849.5</v>
      </c>
      <c r="B14" s="8">
        <v>14</v>
      </c>
      <c r="C14" s="8" t="s">
        <v>153</v>
      </c>
      <c r="D14" s="34">
        <v>45853.416666666664</v>
      </c>
    </row>
    <row r="15" spans="1:26" ht="15" customHeight="1" x14ac:dyDescent="0.35">
      <c r="A15" s="34">
        <v>45849.5</v>
      </c>
      <c r="B15" s="8">
        <v>15</v>
      </c>
      <c r="C15" s="8" t="s">
        <v>153</v>
      </c>
      <c r="D15" s="34">
        <v>45853.458333333336</v>
      </c>
    </row>
    <row r="16" spans="1:26" ht="15" customHeight="1" x14ac:dyDescent="0.35">
      <c r="A16" s="34">
        <v>45849.5</v>
      </c>
      <c r="B16" s="8">
        <v>16</v>
      </c>
      <c r="C16" s="8" t="s">
        <v>153</v>
      </c>
      <c r="D16" s="34">
        <v>45853.5</v>
      </c>
    </row>
    <row r="17" spans="1:4" ht="15" customHeight="1" x14ac:dyDescent="0.35">
      <c r="A17" s="34">
        <v>45849.5</v>
      </c>
      <c r="B17" s="8">
        <v>17</v>
      </c>
      <c r="C17" s="8" t="s">
        <v>153</v>
      </c>
      <c r="D17" s="34">
        <v>45853.541666666664</v>
      </c>
    </row>
    <row r="18" spans="1:4" ht="15" customHeight="1" x14ac:dyDescent="0.35">
      <c r="A18" s="34">
        <v>45849.5</v>
      </c>
      <c r="B18" s="8">
        <v>18</v>
      </c>
      <c r="C18" s="8" t="s">
        <v>153</v>
      </c>
      <c r="D18" s="34">
        <v>45853.583333333336</v>
      </c>
    </row>
    <row r="19" spans="1:4" ht="15" customHeight="1" x14ac:dyDescent="0.35">
      <c r="A19" s="34">
        <v>45849.5</v>
      </c>
      <c r="B19" s="8">
        <v>19</v>
      </c>
      <c r="C19" s="8" t="s">
        <v>153</v>
      </c>
      <c r="D19" s="34">
        <v>45853.625</v>
      </c>
    </row>
    <row r="20" spans="1:4" ht="15" customHeight="1" x14ac:dyDescent="0.35">
      <c r="A20" s="34">
        <v>45849.5</v>
      </c>
      <c r="B20" s="8">
        <v>20</v>
      </c>
      <c r="C20" s="8" t="s">
        <v>153</v>
      </c>
      <c r="D20" s="34">
        <v>45853.666666666664</v>
      </c>
    </row>
  </sheetData>
  <conditionalFormatting sqref="D6">
    <cfRule type="expression" dxfId="3" priority="1" stopIfTrue="1">
      <formula>ISERROR(OFFSET($D$7,-1,0,1))</formula>
    </cfRule>
    <cfRule type="expression" dxfId="2"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28674" r:id="rId5" name="Upd_Button">
              <controlPr defaultSize="0" print="0" autoFill="0" autoPict="0" macro="[0]!Upd_Schedule">
                <anchor moveWithCells="1" sizeWithCells="1">
                  <from>
                    <xdr:col>2</xdr:col>
                    <xdr:colOff>0</xdr:colOff>
                    <xdr:row>2</xdr:row>
                    <xdr:rowOff>0</xdr:rowOff>
                  </from>
                  <to>
                    <xdr:col>4</xdr:col>
                    <xdr:colOff>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948B2-15CD-44B2-A765-82F7207B568F}">
  <sheetPr codeName="Sheet050">
    <tabColor rgb="FF2ECC71"/>
  </sheetPr>
  <dimension ref="A1:P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9.6328125" style="8" bestFit="1" customWidth="1"/>
    <col min="2"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28AA-378C-4296-A994-44824278D7AC}">
  <sheetPr codeName="Sheet100">
    <tabColor theme="4" tint="-0.249977111117893"/>
  </sheetPr>
  <dimension ref="A1:Z10"/>
  <sheetViews>
    <sheetView zoomScaleNormal="100" workbookViewId="0">
      <selection activeCell="A10" sqref="A10"/>
    </sheetView>
  </sheetViews>
  <sheetFormatPr defaultColWidth="12.6328125" defaultRowHeight="14.5" x14ac:dyDescent="0.35"/>
  <cols>
    <col min="1"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819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8197" r:id="rId6" name="Out_Button">
              <controlPr defaultSize="0" print="0" autoFill="0" autoPict="0" macro="[0]!OutputTable">
                <anchor moveWithCells="1" sizeWithCells="1">
                  <from>
                    <xdr:col>3</xdr:col>
                    <xdr:colOff>0</xdr:colOff>
                    <xdr:row>1</xdr:row>
                    <xdr:rowOff>0</xdr:rowOff>
                  </from>
                  <to>
                    <xdr:col>4</xdr:col>
                    <xdr:colOff>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0504-7EE2-4BA5-A501-FA7DA59EFE6D}">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36328125" style="8" bestFit="1" customWidth="1"/>
    <col min="5" max="5" width="6.36328125" style="8" customWidth="1"/>
    <col min="6" max="16384" width="12.08984375" style="8"/>
  </cols>
  <sheetData>
    <row r="1" spans="1:46" ht="14.5" x14ac:dyDescent="0.35">
      <c r="A1" s="13" t="s">
        <v>14</v>
      </c>
      <c r="B1" s="19" t="s">
        <v>15</v>
      </c>
      <c r="C1" s="19" t="s">
        <v>16</v>
      </c>
      <c r="D1" s="19" t="s">
        <v>17</v>
      </c>
      <c r="F1" s="41" t="s">
        <v>133</v>
      </c>
      <c r="G1" s="41" t="s">
        <v>18</v>
      </c>
      <c r="H1" s="41" t="s">
        <v>19</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x14ac:dyDescent="0.35">
      <c r="A2" s="8">
        <f>IF(ISBLANK(B2),"",ROW()-1)</f>
        <v>1</v>
      </c>
      <c r="B2" s="40" t="s">
        <v>20</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x14ac:dyDescent="0.35">
      <c r="A3" s="8">
        <f>IF(ISBLANK(B3),"",ROW()-1)</f>
        <v>2</v>
      </c>
      <c r="B3" s="40" t="s">
        <v>21</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x14ac:dyDescent="0.35">
      <c r="A6" s="8" t="str">
        <f>IF(ISBLANK(B6),"",ROW()-1)</f>
        <v/>
      </c>
      <c r="B6" s="8"/>
      <c r="C6" s="21" t="s">
        <v>11</v>
      </c>
      <c r="D6" s="22">
        <f ca="1">SUM($D$2:$D$5)-SUM($C$2:$C$5)+COUNT($A$2:$A$5)</f>
        <v>2</v>
      </c>
      <c r="E6" s="8"/>
      <c r="N6" s="44"/>
    </row>
    <row r="7" spans="1:46" s="43" customFormat="1" ht="14.5"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t="shared" ref="G8:H8" ca="1" si="0">INDIRECT($B8&amp;"!"&amp;INDEX(G$2:G$5,$A8)&amp;$E8)</f>
        <v>#REF!</v>
      </c>
      <c r="H8" s="8" t="e">
        <f t="shared" ca="1" si="0"/>
        <v>#REF!</v>
      </c>
    </row>
    <row r="9" spans="1:46" ht="5.25" customHeight="1" x14ac:dyDescent="0.35"/>
    <row r="10" spans="1:46" s="13" customFormat="1" ht="15" customHeight="1" x14ac:dyDescent="0.35">
      <c r="A10" s="13" t="s">
        <v>14</v>
      </c>
      <c r="B10" s="13" t="s">
        <v>15</v>
      </c>
      <c r="C10" s="13" t="s">
        <v>16</v>
      </c>
      <c r="D10" s="13" t="s">
        <v>17</v>
      </c>
      <c r="E10" s="13" t="s">
        <v>22</v>
      </c>
      <c r="F10" s="13" t="str">
        <f>IF(ISBLANK(F1),"",F1)</f>
        <v>ItemCode</v>
      </c>
      <c r="G10" s="13" t="str">
        <f>IF(ISBLANK(G1),"",G1)</f>
        <v>Date</v>
      </c>
      <c r="H10" s="13" t="str">
        <f>IF(ISBLANK(H1),"",H1)</f>
        <v>Qty</v>
      </c>
    </row>
  </sheetData>
  <dataConsolidate/>
  <pageMargins left="0.7" right="0.7" top="0.75" bottom="0.75" header="0.3" footer="0.3"/>
  <pageSetup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_Button">
              <controlPr defaultSize="0" print="0" autoFill="0" autoPict="0" macro="[0]!StackNames">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7170" r:id="rId5" name="Upd_Button">
              <controlPr defaultSize="0" print="0" autoFill="0" autoPict="0" macro="[0]!StackSheet">
                <anchor moveWithCells="1" sizeWithCells="1">
                  <from>
                    <xdr:col>1</xdr:col>
                    <xdr:colOff>0</xdr:colOff>
                    <xdr:row>5</xdr:row>
                    <xdr:rowOff>0</xdr:rowOff>
                  </from>
                  <to>
                    <xdr:col>2</xdr:col>
                    <xdr:colOff>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1810-EDC9-4BC4-B7A7-F75A37DFD583}">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6328125" defaultRowHeight="15" customHeight="1" x14ac:dyDescent="0.35"/>
  <cols>
    <col min="1" max="2" width="11.08984375" style="8" customWidth="1"/>
    <col min="3" max="4" width="10.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SUBSTITUTE(ADDRESS(1,COLUMN(),4),"1","")</f>
        <v>M</v>
      </c>
      <c r="N1" s="11" t="str">
        <f>SUBSTITUTE(ADDRESS(1,COLUMN(),4),"1","")</f>
        <v>N</v>
      </c>
      <c r="O1" s="11" t="str">
        <f>SUBSTITUTE(ADDRESS(1,COLUMN(),4),"1","")</f>
        <v>O</v>
      </c>
      <c r="P1" s="11" t="str">
        <f t="shared" ref="P1:R1" si="1">SUBSTITUTE(ADDRESS(1,COLUMN(),4),"1","")</f>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v>
      </c>
    </row>
    <row r="7" spans="1:26" ht="14.5" x14ac:dyDescent="0.35"/>
    <row r="9" spans="1:26" ht="3" customHeight="1" x14ac:dyDescent="0.35"/>
    <row r="10" spans="1:26" s="13" customFormat="1" ht="15" customHeight="1" x14ac:dyDescent="0.35">
      <c r="A10" s="17" t="s">
        <v>29</v>
      </c>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1" priority="1" stopIfTrue="1">
      <formula>ISERROR(OFFSET($D$7,-1,0,1))</formula>
    </cfRule>
    <cfRule type="expression" dxfId="0"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4098" r:id="rId5" name="Upd_Button">
              <controlPr defaultSize="0" print="0" autoFill="0" autoPict="0" macro="[0]!TableSheet">
                <anchor moveWithCells="1" sizeWithCells="1">
                  <from>
                    <xdr:col>2</xdr:col>
                    <xdr:colOff>0</xdr:colOff>
                    <xdr:row>2</xdr:row>
                    <xdr:rowOff>0</xdr:rowOff>
                  </from>
                  <to>
                    <xdr:col>4</xdr:col>
                    <xdr:colOff>0</xdr:colOff>
                    <xdr:row>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5C193-81E8-443C-8DE1-E9C97C26A016}">
  <sheetPr codeName="Sheet070"/>
  <dimension ref="A1:Z22"/>
  <sheetViews>
    <sheetView zoomScaleNormal="100" workbookViewId="0">
      <pane ySplit="10" topLeftCell="A11" activePane="bottomLeft" state="frozen"/>
      <selection activeCell="A10" sqref="A10"/>
      <selection pane="bottomLeft" activeCell="A10" sqref="A10"/>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13</v>
      </c>
    </row>
    <row r="9" spans="1:26" x14ac:dyDescent="0.35">
      <c r="A9"/>
      <c r="B9"/>
      <c r="C9"/>
      <c r="D9"/>
      <c r="E9"/>
      <c r="F9"/>
      <c r="G9"/>
      <c r="H9"/>
    </row>
    <row r="10" spans="1:26" s="18" customFormat="1" x14ac:dyDescent="0.35">
      <c r="A10"/>
      <c r="B10"/>
      <c r="C10"/>
      <c r="D10"/>
      <c r="E10"/>
      <c r="F10"/>
      <c r="G10"/>
      <c r="H10"/>
    </row>
    <row r="11" spans="1:26" x14ac:dyDescent="0.35">
      <c r="A11"/>
      <c r="B11"/>
      <c r="C11"/>
      <c r="D11"/>
      <c r="E11"/>
      <c r="F11"/>
      <c r="G11"/>
      <c r="H11"/>
    </row>
    <row r="12" spans="1:26" x14ac:dyDescent="0.35">
      <c r="A12"/>
      <c r="B12"/>
      <c r="C12"/>
      <c r="D12"/>
      <c r="E12"/>
      <c r="F12"/>
      <c r="G12"/>
      <c r="H12"/>
    </row>
    <row r="13" spans="1:26" x14ac:dyDescent="0.35">
      <c r="A13"/>
      <c r="B13"/>
      <c r="C13"/>
      <c r="D13"/>
      <c r="E13"/>
      <c r="F13"/>
      <c r="G13"/>
      <c r="H13"/>
    </row>
    <row r="14" spans="1:26" x14ac:dyDescent="0.35">
      <c r="A14"/>
      <c r="B14"/>
      <c r="C14"/>
      <c r="D14"/>
      <c r="E14"/>
      <c r="F14"/>
      <c r="G14"/>
      <c r="H14"/>
    </row>
    <row r="15" spans="1:26" x14ac:dyDescent="0.35">
      <c r="A15"/>
      <c r="B15"/>
      <c r="C15"/>
      <c r="D15"/>
      <c r="E15"/>
      <c r="F15"/>
      <c r="G15"/>
      <c r="H15"/>
    </row>
    <row r="16" spans="1:26" x14ac:dyDescent="0.35">
      <c r="A16"/>
      <c r="B16"/>
      <c r="C16"/>
      <c r="D16"/>
      <c r="E16"/>
      <c r="F16"/>
      <c r="G16"/>
      <c r="H16"/>
    </row>
    <row r="17" spans="1:8" x14ac:dyDescent="0.35">
      <c r="A17"/>
      <c r="B17"/>
      <c r="C17"/>
      <c r="D17"/>
      <c r="E17"/>
      <c r="F17"/>
      <c r="G17"/>
      <c r="H17"/>
    </row>
    <row r="18" spans="1:8" x14ac:dyDescent="0.35">
      <c r="A18"/>
      <c r="B18"/>
      <c r="C18"/>
      <c r="D18"/>
      <c r="E18"/>
      <c r="F18"/>
      <c r="G18"/>
      <c r="H18"/>
    </row>
    <row r="19" spans="1:8" x14ac:dyDescent="0.35">
      <c r="A19"/>
      <c r="B19"/>
      <c r="C19"/>
      <c r="D19"/>
      <c r="E19"/>
      <c r="F19"/>
      <c r="G19"/>
      <c r="H19"/>
    </row>
    <row r="20" spans="1:8" x14ac:dyDescent="0.35">
      <c r="A20"/>
      <c r="B20"/>
      <c r="C20"/>
      <c r="D20"/>
      <c r="E20"/>
      <c r="F20"/>
      <c r="G20"/>
      <c r="H20"/>
    </row>
    <row r="21" spans="1:8" x14ac:dyDescent="0.35">
      <c r="A21"/>
      <c r="B21"/>
      <c r="C21"/>
      <c r="D21"/>
      <c r="E21"/>
      <c r="F21"/>
      <c r="G21"/>
      <c r="H21"/>
    </row>
    <row r="22" spans="1:8" x14ac:dyDescent="0.35">
      <c r="A22"/>
      <c r="B22"/>
      <c r="C22"/>
      <c r="D22"/>
      <c r="E22"/>
      <c r="F22"/>
      <c r="G22"/>
      <c r="H22"/>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5122"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74C4D-2A2F-43D8-A00B-20DA9BA5A8DB}">
  <sheetPr codeName="Sheet101">
    <tabColor theme="8"/>
  </sheetPr>
  <dimension ref="A1:Z10"/>
  <sheetViews>
    <sheetView zoomScaleNormal="100" workbookViewId="0">
      <selection activeCell="A10" sqref="A10"/>
    </sheetView>
  </sheetViews>
  <sheetFormatPr defaultColWidth="12.6328125" defaultRowHeight="14.5" x14ac:dyDescent="0.35"/>
  <cols>
    <col min="1" max="1" width="17.81640625" style="8" bestFit="1" customWidth="1"/>
    <col min="2"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x14ac:dyDescent="0.35">
      <c r="A5" s="17" t="s">
        <v>116</v>
      </c>
    </row>
    <row r="8" spans="1:26" ht="15" customHeight="1" x14ac:dyDescent="0.35"/>
    <row r="9" spans="1:26" ht="3" customHeight="1" x14ac:dyDescent="0.35"/>
    <row r="10" spans="1:26" s="13" customFormat="1" x14ac:dyDescent="0.35">
      <c r="A10" s="35" t="s">
        <v>112</v>
      </c>
      <c r="B10" s="35" t="s">
        <v>110</v>
      </c>
      <c r="C10" s="35" t="s">
        <v>111</v>
      </c>
      <c r="D10" s="35" t="s">
        <v>114</v>
      </c>
      <c r="E10" s="17" t="s">
        <v>113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reate_Button">
              <controlPr defaultSize="0" print="0" autoFill="0" autoPict="0" macro="[0]!ModuleLis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3554" r:id="rId5" name="Upd_Button">
              <controlPr defaultSize="0" print="0" autoFill="0" autoPict="0" macro="[0]!ModuleLis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C86F6-CA8C-430B-BBFC-B8C2CB68988E}">
  <sheetPr codeName="Sheet140">
    <tabColor theme="8"/>
  </sheetPr>
  <dimension ref="A1:N83"/>
  <sheetViews>
    <sheetView showGridLines="0" zoomScaleNormal="100" workbookViewId="0">
      <selection activeCell="A10" sqref="A10"/>
    </sheetView>
  </sheetViews>
  <sheetFormatPr defaultRowHeight="14.5" x14ac:dyDescent="0.35"/>
  <cols>
    <col min="1" max="1" width="39.1796875" customWidth="1"/>
    <col min="2" max="2" width="3.6328125" customWidth="1"/>
  </cols>
  <sheetData>
    <row r="1" spans="1:3" x14ac:dyDescent="0.35">
      <c r="A1" s="28" t="s">
        <v>39</v>
      </c>
    </row>
    <row r="2" spans="1:3" x14ac:dyDescent="0.35">
      <c r="A2" s="30" t="s">
        <v>49</v>
      </c>
      <c r="B2" s="32" t="s">
        <v>40</v>
      </c>
      <c r="C2" t="s">
        <v>45</v>
      </c>
    </row>
    <row r="3" spans="1:3" x14ac:dyDescent="0.35">
      <c r="A3" s="30" t="s">
        <v>49</v>
      </c>
      <c r="B3" s="32" t="s">
        <v>31</v>
      </c>
      <c r="C3" t="s">
        <v>66</v>
      </c>
    </row>
    <row r="4" spans="1:3" x14ac:dyDescent="0.35">
      <c r="A4" s="30" t="s">
        <v>49</v>
      </c>
      <c r="B4" s="32" t="s">
        <v>29</v>
      </c>
      <c r="C4" t="s">
        <v>46</v>
      </c>
    </row>
    <row r="5" spans="1:3" x14ac:dyDescent="0.35">
      <c r="A5" s="30" t="s">
        <v>49</v>
      </c>
      <c r="B5" s="32" t="s">
        <v>41</v>
      </c>
      <c r="C5" t="s">
        <v>69</v>
      </c>
    </row>
    <row r="6" spans="1:3" x14ac:dyDescent="0.35">
      <c r="A6" s="30" t="s">
        <v>49</v>
      </c>
      <c r="B6" s="32" t="s">
        <v>34</v>
      </c>
      <c r="C6" t="s">
        <v>74</v>
      </c>
    </row>
    <row r="7" spans="1:3" x14ac:dyDescent="0.35">
      <c r="A7" s="30" t="s">
        <v>49</v>
      </c>
      <c r="B7" s="32" t="s">
        <v>67</v>
      </c>
      <c r="C7" t="s">
        <v>75</v>
      </c>
    </row>
    <row r="8" spans="1:3" x14ac:dyDescent="0.35">
      <c r="A8" s="30" t="s">
        <v>49</v>
      </c>
      <c r="B8" s="31">
        <v>0</v>
      </c>
      <c r="C8" t="s">
        <v>76</v>
      </c>
    </row>
    <row r="9" spans="1:3" x14ac:dyDescent="0.35">
      <c r="A9" s="30" t="s">
        <v>49</v>
      </c>
      <c r="B9" s="32" t="s">
        <v>42</v>
      </c>
      <c r="C9" t="s">
        <v>77</v>
      </c>
    </row>
    <row r="10" spans="1:3" x14ac:dyDescent="0.35">
      <c r="A10" s="30" t="s">
        <v>49</v>
      </c>
      <c r="B10" s="32" t="s">
        <v>33</v>
      </c>
      <c r="C10" t="s">
        <v>68</v>
      </c>
    </row>
    <row r="11" spans="1:3" x14ac:dyDescent="0.35">
      <c r="A11" s="30" t="s">
        <v>49</v>
      </c>
      <c r="B11" s="32" t="s">
        <v>32</v>
      </c>
      <c r="C11" t="s">
        <v>48</v>
      </c>
    </row>
    <row r="12" spans="1:3" x14ac:dyDescent="0.35">
      <c r="A12" s="30" t="s">
        <v>49</v>
      </c>
      <c r="B12" s="32" t="s">
        <v>30</v>
      </c>
      <c r="C12" t="s">
        <v>47</v>
      </c>
    </row>
    <row r="13" spans="1:3" x14ac:dyDescent="0.35">
      <c r="A13" s="30" t="s">
        <v>49</v>
      </c>
      <c r="B13" s="32" t="s">
        <v>43</v>
      </c>
      <c r="C13" t="s">
        <v>70</v>
      </c>
    </row>
    <row r="14" spans="1:3" x14ac:dyDescent="0.35">
      <c r="A14" s="30" t="s">
        <v>49</v>
      </c>
      <c r="B14" s="32" t="s">
        <v>12</v>
      </c>
      <c r="C14" t="s">
        <v>71</v>
      </c>
    </row>
    <row r="15" spans="1:3" x14ac:dyDescent="0.35">
      <c r="A15" s="30" t="s">
        <v>49</v>
      </c>
      <c r="B15" s="32" t="s">
        <v>44</v>
      </c>
      <c r="C15" t="s">
        <v>72</v>
      </c>
    </row>
    <row r="16" spans="1:3" x14ac:dyDescent="0.35">
      <c r="A16" s="30" t="s">
        <v>49</v>
      </c>
      <c r="B16" s="32" t="s">
        <v>102</v>
      </c>
      <c r="C16" t="s">
        <v>103</v>
      </c>
    </row>
    <row r="17" spans="1:14" x14ac:dyDescent="0.35">
      <c r="A17" s="30" t="s">
        <v>49</v>
      </c>
      <c r="B17" s="32" t="s">
        <v>134</v>
      </c>
      <c r="C17" t="s">
        <v>135</v>
      </c>
    </row>
    <row r="18" spans="1:14" x14ac:dyDescent="0.35">
      <c r="A18" s="30" t="s">
        <v>49</v>
      </c>
      <c r="B18" s="32" t="s">
        <v>137</v>
      </c>
      <c r="C18" t="s">
        <v>138</v>
      </c>
    </row>
    <row r="19" spans="1:14" x14ac:dyDescent="0.35">
      <c r="A19" s="28" t="s">
        <v>58</v>
      </c>
    </row>
    <row r="20" spans="1:14" x14ac:dyDescent="0.35">
      <c r="A20" t="s">
        <v>81</v>
      </c>
    </row>
    <row r="21" spans="1:14" x14ac:dyDescent="0.35">
      <c r="A21" t="s">
        <v>115</v>
      </c>
    </row>
    <row r="22" spans="1:14" x14ac:dyDescent="0.35">
      <c r="A22" t="s">
        <v>125</v>
      </c>
    </row>
    <row r="23" spans="1:14" x14ac:dyDescent="0.35">
      <c r="A23" t="s">
        <v>91</v>
      </c>
    </row>
    <row r="25" spans="1:14" x14ac:dyDescent="0.35">
      <c r="A25" s="28" t="s">
        <v>60</v>
      </c>
    </row>
    <row r="26" spans="1:14" x14ac:dyDescent="0.35">
      <c r="A26" s="27" t="s">
        <v>50</v>
      </c>
      <c r="C26" t="s">
        <v>126</v>
      </c>
    </row>
    <row r="27" spans="1:14" x14ac:dyDescent="0.35">
      <c r="A27" t="s">
        <v>24</v>
      </c>
      <c r="B27" t="s">
        <v>80</v>
      </c>
      <c r="C27" t="s">
        <v>73</v>
      </c>
    </row>
    <row r="28" spans="1:14" x14ac:dyDescent="0.35">
      <c r="A28" t="s">
        <v>25</v>
      </c>
      <c r="C28" t="s">
        <v>78</v>
      </c>
    </row>
    <row r="29" spans="1:14" x14ac:dyDescent="0.35">
      <c r="A29" t="s">
        <v>26</v>
      </c>
      <c r="C29" t="s">
        <v>79</v>
      </c>
    </row>
    <row r="30" spans="1:14" x14ac:dyDescent="0.35">
      <c r="A30" t="s">
        <v>27</v>
      </c>
      <c r="C30" t="s">
        <v>82</v>
      </c>
    </row>
    <row r="31" spans="1:14" ht="43.25" customHeight="1" x14ac:dyDescent="0.35">
      <c r="A31" s="57" t="s">
        <v>83</v>
      </c>
      <c r="B31" s="57"/>
      <c r="C31" s="57"/>
      <c r="D31" s="57"/>
      <c r="E31" s="57"/>
      <c r="F31" s="57"/>
      <c r="G31" s="57"/>
      <c r="H31" s="57"/>
      <c r="I31" s="57"/>
      <c r="J31" s="57"/>
      <c r="K31" s="57"/>
      <c r="L31" s="57"/>
      <c r="M31" s="57"/>
      <c r="N31" s="57"/>
    </row>
    <row r="33" spans="1:7" x14ac:dyDescent="0.35">
      <c r="A33" s="27" t="s">
        <v>23</v>
      </c>
    </row>
    <row r="34" spans="1:7" x14ac:dyDescent="0.35">
      <c r="A34" t="s">
        <v>51</v>
      </c>
      <c r="C34" t="s">
        <v>119</v>
      </c>
    </row>
    <row r="35" spans="1:7" x14ac:dyDescent="0.35">
      <c r="A35" t="s">
        <v>52</v>
      </c>
      <c r="C35" t="s">
        <v>120</v>
      </c>
    </row>
    <row r="36" spans="1:7" x14ac:dyDescent="0.35">
      <c r="A36" t="s">
        <v>53</v>
      </c>
      <c r="C36" t="s">
        <v>121</v>
      </c>
    </row>
    <row r="37" spans="1:7" x14ac:dyDescent="0.35">
      <c r="A37" t="s">
        <v>54</v>
      </c>
      <c r="C37" t="s">
        <v>122</v>
      </c>
    </row>
    <row r="38" spans="1:7" x14ac:dyDescent="0.35">
      <c r="A38" s="36" t="s">
        <v>124</v>
      </c>
      <c r="C38" t="s">
        <v>127</v>
      </c>
    </row>
    <row r="39" spans="1:7" x14ac:dyDescent="0.35">
      <c r="A39" s="36"/>
      <c r="C39" s="29" t="s">
        <v>132</v>
      </c>
    </row>
    <row r="40" spans="1:7" x14ac:dyDescent="0.35">
      <c r="A40" s="36"/>
      <c r="C40" s="29" t="s">
        <v>128</v>
      </c>
    </row>
    <row r="41" spans="1:7" x14ac:dyDescent="0.35">
      <c r="A41" s="36"/>
      <c r="B41" t="s">
        <v>80</v>
      </c>
      <c r="C41" s="29" t="s">
        <v>131</v>
      </c>
      <c r="G41" t="s">
        <v>130</v>
      </c>
    </row>
    <row r="42" spans="1:7" x14ac:dyDescent="0.35">
      <c r="A42" s="36"/>
      <c r="C42" s="29" t="s">
        <v>129</v>
      </c>
    </row>
    <row r="44" spans="1:7" x14ac:dyDescent="0.35">
      <c r="A44" t="s">
        <v>55</v>
      </c>
      <c r="C44" t="s">
        <v>84</v>
      </c>
    </row>
    <row r="45" spans="1:7" x14ac:dyDescent="0.35">
      <c r="C45" t="s">
        <v>117</v>
      </c>
    </row>
    <row r="46" spans="1:7" x14ac:dyDescent="0.35">
      <c r="C46" t="s">
        <v>118</v>
      </c>
    </row>
    <row r="47" spans="1:7" x14ac:dyDescent="0.35">
      <c r="C47" t="s">
        <v>123</v>
      </c>
    </row>
    <row r="48" spans="1:7" x14ac:dyDescent="0.35">
      <c r="C48" t="s">
        <v>89</v>
      </c>
    </row>
    <row r="49" spans="1:3" x14ac:dyDescent="0.35">
      <c r="A49" t="s">
        <v>64</v>
      </c>
    </row>
    <row r="51" spans="1:3" x14ac:dyDescent="0.35">
      <c r="A51" s="27" t="s">
        <v>59</v>
      </c>
    </row>
    <row r="52" spans="1:3" x14ac:dyDescent="0.35">
      <c r="A52" t="s">
        <v>56</v>
      </c>
      <c r="C52" t="s">
        <v>136</v>
      </c>
    </row>
    <row r="53" spans="1:3" x14ac:dyDescent="0.35">
      <c r="B53" t="s">
        <v>80</v>
      </c>
      <c r="C53" t="s">
        <v>85</v>
      </c>
    </row>
    <row r="54" spans="1:3" x14ac:dyDescent="0.35">
      <c r="A54" t="s">
        <v>65</v>
      </c>
    </row>
    <row r="56" spans="1:3" x14ac:dyDescent="0.35">
      <c r="A56" s="27" t="s">
        <v>92</v>
      </c>
    </row>
    <row r="57" spans="1:3" x14ac:dyDescent="0.35">
      <c r="A57" s="33" t="s">
        <v>93</v>
      </c>
      <c r="C57" t="s">
        <v>94</v>
      </c>
    </row>
    <row r="58" spans="1:3" x14ac:dyDescent="0.35">
      <c r="C58" t="s">
        <v>95</v>
      </c>
    </row>
    <row r="59" spans="1:3" x14ac:dyDescent="0.35">
      <c r="C59" s="29" t="s">
        <v>96</v>
      </c>
    </row>
    <row r="60" spans="1:3" x14ac:dyDescent="0.35">
      <c r="C60" s="29" t="s">
        <v>97</v>
      </c>
    </row>
    <row r="61" spans="1:3" x14ac:dyDescent="0.35">
      <c r="C61" s="29" t="s">
        <v>101</v>
      </c>
    </row>
    <row r="62" spans="1:3" x14ac:dyDescent="0.35">
      <c r="C62" s="29" t="s">
        <v>105</v>
      </c>
    </row>
    <row r="63" spans="1:3" x14ac:dyDescent="0.35">
      <c r="C63" s="29" t="s">
        <v>106</v>
      </c>
    </row>
    <row r="64" spans="1:3" x14ac:dyDescent="0.35">
      <c r="C64" s="29" t="s">
        <v>104</v>
      </c>
    </row>
    <row r="65" spans="1:3" x14ac:dyDescent="0.35">
      <c r="A65" t="s">
        <v>98</v>
      </c>
      <c r="C65" s="29"/>
    </row>
    <row r="66" spans="1:3" x14ac:dyDescent="0.35">
      <c r="C66" s="29"/>
    </row>
    <row r="67" spans="1:3" x14ac:dyDescent="0.35">
      <c r="A67" s="28" t="s">
        <v>57</v>
      </c>
    </row>
    <row r="68" spans="1:3" x14ac:dyDescent="0.35">
      <c r="A68" s="27" t="s">
        <v>87</v>
      </c>
    </row>
    <row r="69" spans="1:3" x14ac:dyDescent="0.35">
      <c r="A69" t="s">
        <v>86</v>
      </c>
    </row>
    <row r="70" spans="1:3" x14ac:dyDescent="0.35">
      <c r="A70" s="27" t="s">
        <v>108</v>
      </c>
    </row>
    <row r="71" spans="1:3" x14ac:dyDescent="0.35">
      <c r="A71" t="s">
        <v>88</v>
      </c>
    </row>
    <row r="72" spans="1:3" x14ac:dyDescent="0.35">
      <c r="A72" t="s">
        <v>107</v>
      </c>
    </row>
    <row r="73" spans="1:3" x14ac:dyDescent="0.35">
      <c r="A73" t="s">
        <v>109</v>
      </c>
    </row>
    <row r="75" spans="1:3" x14ac:dyDescent="0.35">
      <c r="A75" s="28" t="s">
        <v>61</v>
      </c>
    </row>
    <row r="76" spans="1:3" x14ac:dyDescent="0.35">
      <c r="A76" s="29" t="s">
        <v>62</v>
      </c>
      <c r="C76" t="s">
        <v>63</v>
      </c>
    </row>
    <row r="78" spans="1:3" x14ac:dyDescent="0.35">
      <c r="A78" s="28" t="s">
        <v>99</v>
      </c>
    </row>
    <row r="79" spans="1:3" x14ac:dyDescent="0.35">
      <c r="A79" t="s">
        <v>141</v>
      </c>
    </row>
    <row r="80" spans="1:3" x14ac:dyDescent="0.35">
      <c r="A80" t="s">
        <v>100</v>
      </c>
    </row>
    <row r="82" spans="1:1" x14ac:dyDescent="0.35">
      <c r="A82" s="28" t="s">
        <v>140</v>
      </c>
    </row>
    <row r="83" spans="1:1" x14ac:dyDescent="0.35">
      <c r="A83" t="s">
        <v>142</v>
      </c>
    </row>
  </sheetData>
  <mergeCells count="1">
    <mergeCell ref="A31:N31"/>
  </mergeCells>
  <phoneticPr fontId="21" type="noConversion"/>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2B6091-697D-4444-BE0E-9B402BB48E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Menu</vt:lpstr>
      <vt:lpstr>PARA</vt:lpstr>
      <vt:lpstr>calendar_rules</vt:lpstr>
      <vt:lpstr>calendar_exceptions</vt:lpstr>
      <vt:lpstr>Schedule</vt:lpstr>
      <vt:lpstr>Query_Template</vt:lpstr>
      <vt:lpstr>Parameter_Template</vt:lpstr>
      <vt:lpstr>Stack_Template</vt:lpstr>
      <vt:lpstr>Table_Template</vt:lpstr>
      <vt:lpstr>Pivot_Template</vt:lpstr>
      <vt:lpstr>ModuleList_Template</vt:lpstr>
      <vt:lpstr>QuickReference</vt:lpstr>
      <vt:lpstr>PARA_FilePath_Archive</vt:lpstr>
      <vt:lpstr>PARA_FilePath_Data_Local</vt:lpstr>
      <vt:lpstr>PARA_FilePath_Data_Netwk</vt:lpstr>
      <vt:lpstr>PARA_FilePath_Input_Local</vt:lpstr>
      <vt:lpstr>PARA_FilePath_Modules</vt:lpstr>
      <vt:lpstr>PARA_Keep_Query_Data</vt:lpstr>
      <vt:lpstr>PARA_Run_Duration</vt:lpstr>
      <vt:lpstr>PARA_User_Folder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Gabriele Tettamanzi</dc:creator>
  <cp:lastModifiedBy>Kien Leong</cp:lastModifiedBy>
  <dcterms:created xsi:type="dcterms:W3CDTF">2022-10-26T14:09:51Z</dcterms:created>
  <dcterms:modified xsi:type="dcterms:W3CDTF">2025-07-11T08:48:51Z</dcterms:modified>
</cp:coreProperties>
</file>